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T\DesignDocs\"/>
    </mc:Choice>
  </mc:AlternateContent>
  <xr:revisionPtr revIDLastSave="0" documentId="13_ncr:1_{A3C91E3F-ED67-4388-AEAF-5F7B85268227}" xr6:coauthVersionLast="45" xr6:coauthVersionMax="45" xr10:uidLastSave="{00000000-0000-0000-0000-000000000000}"/>
  <bookViews>
    <workbookView xWindow="-120" yWindow="-120" windowWidth="29040" windowHeight="15840" tabRatio="850" activeTab="1" xr2:uid="{00000000-000D-0000-FFFF-FFFF00000000}"/>
  </bookViews>
  <sheets>
    <sheet name="ZConfig" sheetId="4" r:id="rId1"/>
    <sheet name="AllItems" sheetId="7" r:id="rId2"/>
    <sheet name="Fishing" sheetId="21" r:id="rId3"/>
    <sheet name="ForestObjects" sheetId="20" r:id="rId4"/>
    <sheet name="Minerals" sheetId="9" r:id="rId5"/>
    <sheet name="Monsters" sheetId="18" r:id="rId6"/>
    <sheet name="ForestLevels" sheetId="19" r:id="rId7"/>
    <sheet name="MiningLevels" sheetId="17" r:id="rId8"/>
    <sheet name="ItemReceipes" sheetId="13" r:id="rId9"/>
    <sheet name="FruitTrees" sheetId="23" r:id="rId10"/>
    <sheet name="Crops" sheetId="16" r:id="rId11"/>
    <sheet name="Source" sheetId="2" r:id="rId12"/>
    <sheet name="Decoration" sheetId="14" r:id="rId13"/>
    <sheet name="Livestock" sheetId="15" r:id="rId14"/>
    <sheet name="LevelUp" sheetId="3" r:id="rId15"/>
  </sheets>
  <definedNames>
    <definedName name="_xlnm._FilterDatabase" localSheetId="14" hidden="1">LevelUp!$A$1:$I$26</definedName>
  </definedNames>
  <calcPr calcId="191029"/>
</workbook>
</file>

<file path=xl/calcChain.xml><?xml version="1.0" encoding="utf-8"?>
<calcChain xmlns="http://schemas.openxmlformats.org/spreadsheetml/2006/main">
  <c r="J29" i="21" l="1"/>
  <c r="A29" i="21"/>
  <c r="M84" i="7"/>
  <c r="B3" i="23" l="1"/>
  <c r="B2" i="23"/>
  <c r="D3" i="23"/>
  <c r="D2" i="23"/>
  <c r="N3" i="7" l="1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2" i="7"/>
  <c r="J2" i="21" l="1"/>
  <c r="A2" i="21"/>
  <c r="J3" i="21"/>
  <c r="A3" i="21"/>
  <c r="M58" i="7"/>
  <c r="M57" i="7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4" i="21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J11" i="21" l="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5" i="21"/>
  <c r="J6" i="21"/>
  <c r="J7" i="21"/>
  <c r="J8" i="21"/>
  <c r="J9" i="21"/>
  <c r="J10" i="21"/>
  <c r="J4" i="21"/>
  <c r="M59" i="7" l="1"/>
  <c r="S6" i="18" l="1"/>
  <c r="D6" i="18"/>
  <c r="S5" i="18"/>
  <c r="D5" i="18"/>
  <c r="AA3" i="19" l="1"/>
  <c r="AA4" i="19"/>
  <c r="AA5" i="19"/>
  <c r="AA6" i="19"/>
  <c r="M35" i="7"/>
  <c r="E3" i="19" l="1"/>
  <c r="H3" i="19"/>
  <c r="K3" i="19"/>
  <c r="N3" i="19"/>
  <c r="Q3" i="19"/>
  <c r="T3" i="19"/>
  <c r="W3" i="19"/>
  <c r="E4" i="19"/>
  <c r="H4" i="19"/>
  <c r="K4" i="19"/>
  <c r="N4" i="19"/>
  <c r="Q4" i="19"/>
  <c r="T4" i="19"/>
  <c r="W4" i="19"/>
  <c r="E5" i="19"/>
  <c r="H5" i="19"/>
  <c r="K5" i="19"/>
  <c r="N5" i="19"/>
  <c r="Q5" i="19"/>
  <c r="T5" i="19"/>
  <c r="W5" i="19"/>
  <c r="E6" i="19"/>
  <c r="H6" i="19"/>
  <c r="K6" i="19"/>
  <c r="N6" i="19"/>
  <c r="Q6" i="19"/>
  <c r="T6" i="19"/>
  <c r="W6" i="19"/>
  <c r="H2" i="19"/>
  <c r="K2" i="19"/>
  <c r="N2" i="19"/>
  <c r="Q2" i="19"/>
  <c r="T2" i="19"/>
  <c r="W2" i="19"/>
  <c r="C2" i="19"/>
  <c r="E2" i="19"/>
  <c r="I8" i="20"/>
  <c r="D8" i="20"/>
  <c r="I7" i="20"/>
  <c r="D7" i="20"/>
  <c r="I6" i="20"/>
  <c r="D6" i="20"/>
  <c r="I5" i="20"/>
  <c r="D5" i="20"/>
  <c r="I4" i="20"/>
  <c r="D4" i="20"/>
  <c r="I3" i="20"/>
  <c r="D3" i="20"/>
  <c r="I2" i="20"/>
  <c r="D2" i="20"/>
  <c r="AS6" i="19"/>
  <c r="AP6" i="19"/>
  <c r="AM6" i="19"/>
  <c r="AJ6" i="19"/>
  <c r="AG6" i="19"/>
  <c r="AD6" i="19"/>
  <c r="Y6" i="19"/>
  <c r="C6" i="19"/>
  <c r="AS5" i="19"/>
  <c r="AP5" i="19"/>
  <c r="AM5" i="19"/>
  <c r="AJ5" i="19"/>
  <c r="AG5" i="19"/>
  <c r="AD5" i="19"/>
  <c r="Y5" i="19"/>
  <c r="C5" i="19"/>
  <c r="AS4" i="19"/>
  <c r="AP4" i="19"/>
  <c r="AM4" i="19"/>
  <c r="AJ4" i="19"/>
  <c r="AG4" i="19"/>
  <c r="AD4" i="19"/>
  <c r="Y4" i="19"/>
  <c r="C4" i="19"/>
  <c r="AS3" i="19"/>
  <c r="AP3" i="19"/>
  <c r="AM3" i="19"/>
  <c r="AJ3" i="19"/>
  <c r="AG3" i="19"/>
  <c r="AD3" i="19"/>
  <c r="Y3" i="19"/>
  <c r="C3" i="19"/>
  <c r="AS2" i="19"/>
  <c r="AP2" i="19"/>
  <c r="AM2" i="19"/>
  <c r="AJ2" i="19"/>
  <c r="AG2" i="19"/>
  <c r="AD2" i="19"/>
  <c r="AA2" i="19"/>
  <c r="Y2" i="19"/>
  <c r="L33" i="13" l="1"/>
  <c r="I33" i="13"/>
  <c r="F33" i="13"/>
  <c r="D33" i="13"/>
  <c r="B33" i="13"/>
  <c r="L32" i="13"/>
  <c r="I32" i="13"/>
  <c r="F32" i="13"/>
  <c r="D32" i="13"/>
  <c r="B32" i="13"/>
  <c r="L31" i="13"/>
  <c r="I31" i="13"/>
  <c r="F31" i="13"/>
  <c r="D31" i="13"/>
  <c r="B31" i="13"/>
  <c r="L30" i="13"/>
  <c r="I30" i="13"/>
  <c r="F30" i="13"/>
  <c r="D30" i="13"/>
  <c r="B30" i="13"/>
  <c r="AI3" i="17" l="1"/>
  <c r="AI4" i="17"/>
  <c r="AI5" i="17"/>
  <c r="AI6" i="17"/>
  <c r="AI7" i="17"/>
  <c r="AI8" i="17"/>
  <c r="AI9" i="17"/>
  <c r="AI10" i="17"/>
  <c r="AI11" i="17"/>
  <c r="AI12" i="17"/>
  <c r="AU3" i="17"/>
  <c r="AU4" i="17"/>
  <c r="AU5" i="17"/>
  <c r="AU6" i="17"/>
  <c r="AU7" i="17"/>
  <c r="AU8" i="17"/>
  <c r="AU9" i="17"/>
  <c r="AU10" i="17"/>
  <c r="AU11" i="17"/>
  <c r="AU12" i="17"/>
  <c r="AR3" i="17"/>
  <c r="AR4" i="17"/>
  <c r="AR5" i="17"/>
  <c r="AR6" i="17"/>
  <c r="AR7" i="17"/>
  <c r="AR8" i="17"/>
  <c r="AR9" i="17"/>
  <c r="AR10" i="17"/>
  <c r="AR11" i="17"/>
  <c r="AR12" i="17"/>
  <c r="AO3" i="17"/>
  <c r="AO4" i="17"/>
  <c r="AO5" i="17"/>
  <c r="AO6" i="17"/>
  <c r="AO7" i="17"/>
  <c r="AO8" i="17"/>
  <c r="AO9" i="17"/>
  <c r="AO10" i="17"/>
  <c r="AO11" i="17"/>
  <c r="AO12" i="17"/>
  <c r="AL3" i="17"/>
  <c r="AL4" i="17"/>
  <c r="AL5" i="17"/>
  <c r="AL6" i="17"/>
  <c r="AL7" i="17"/>
  <c r="AL8" i="17"/>
  <c r="AL9" i="17"/>
  <c r="AL10" i="17"/>
  <c r="AL11" i="17"/>
  <c r="AL12" i="17"/>
  <c r="AF3" i="17"/>
  <c r="AF4" i="17"/>
  <c r="AF5" i="17"/>
  <c r="AF6" i="17"/>
  <c r="AF7" i="17"/>
  <c r="AF8" i="17"/>
  <c r="AF9" i="17"/>
  <c r="AF10" i="17"/>
  <c r="AF11" i="17"/>
  <c r="AF12" i="17"/>
  <c r="AF2" i="17"/>
  <c r="AI2" i="17"/>
  <c r="AL2" i="17"/>
  <c r="AO2" i="17"/>
  <c r="AR2" i="17"/>
  <c r="AU2" i="17"/>
  <c r="AC3" i="17"/>
  <c r="AC4" i="17"/>
  <c r="AC5" i="17"/>
  <c r="AC6" i="17"/>
  <c r="AC7" i="17"/>
  <c r="AC8" i="17"/>
  <c r="AC9" i="17"/>
  <c r="AC10" i="17"/>
  <c r="AC11" i="17"/>
  <c r="AC12" i="17"/>
  <c r="AC2" i="17"/>
  <c r="AA3" i="17"/>
  <c r="AA4" i="17"/>
  <c r="AA5" i="17"/>
  <c r="AA6" i="17"/>
  <c r="AA7" i="17"/>
  <c r="AA8" i="17"/>
  <c r="AA9" i="17"/>
  <c r="AA10" i="17"/>
  <c r="AA11" i="17"/>
  <c r="AA12" i="17"/>
  <c r="AA2" i="17"/>
  <c r="S4" i="18" l="1"/>
  <c r="D4" i="18"/>
  <c r="S3" i="18"/>
  <c r="D3" i="18"/>
  <c r="S2" i="18"/>
  <c r="D2" i="18"/>
  <c r="D6" i="9" l="1"/>
  <c r="I6" i="9"/>
  <c r="M56" i="7"/>
  <c r="M55" i="7"/>
  <c r="M54" i="7"/>
  <c r="M53" i="7"/>
  <c r="M52" i="7"/>
  <c r="M51" i="7"/>
  <c r="M50" i="7"/>
  <c r="I7" i="9"/>
  <c r="D7" i="9"/>
  <c r="M39" i="7"/>
  <c r="M38" i="7"/>
  <c r="M37" i="7"/>
  <c r="M36" i="7"/>
  <c r="M49" i="7"/>
  <c r="D3" i="9"/>
  <c r="D4" i="9"/>
  <c r="D5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" i="9"/>
  <c r="E4" i="17"/>
  <c r="G4" i="17"/>
  <c r="J4" i="17"/>
  <c r="M4" i="17"/>
  <c r="P4" i="17"/>
  <c r="S4" i="17"/>
  <c r="V4" i="17"/>
  <c r="Y4" i="17"/>
  <c r="E5" i="17"/>
  <c r="G5" i="17"/>
  <c r="J5" i="17"/>
  <c r="M5" i="17"/>
  <c r="P5" i="17"/>
  <c r="S5" i="17"/>
  <c r="V5" i="17"/>
  <c r="Y5" i="17"/>
  <c r="E6" i="17"/>
  <c r="G6" i="17"/>
  <c r="J6" i="17"/>
  <c r="M6" i="17"/>
  <c r="P6" i="17"/>
  <c r="S6" i="17"/>
  <c r="V6" i="17"/>
  <c r="Y6" i="17"/>
  <c r="E7" i="17"/>
  <c r="G7" i="17"/>
  <c r="J7" i="17"/>
  <c r="M7" i="17"/>
  <c r="P7" i="17"/>
  <c r="S7" i="17"/>
  <c r="V7" i="17"/>
  <c r="Y7" i="17"/>
  <c r="E8" i="17"/>
  <c r="G8" i="17"/>
  <c r="J8" i="17"/>
  <c r="M8" i="17"/>
  <c r="P8" i="17"/>
  <c r="S8" i="17"/>
  <c r="V8" i="17"/>
  <c r="Y8" i="17"/>
  <c r="E9" i="17"/>
  <c r="G9" i="17"/>
  <c r="J9" i="17"/>
  <c r="M9" i="17"/>
  <c r="P9" i="17"/>
  <c r="S9" i="17"/>
  <c r="V9" i="17"/>
  <c r="Y9" i="17"/>
  <c r="E10" i="17"/>
  <c r="G10" i="17"/>
  <c r="J10" i="17"/>
  <c r="M10" i="17"/>
  <c r="P10" i="17"/>
  <c r="S10" i="17"/>
  <c r="V10" i="17"/>
  <c r="Y10" i="17"/>
  <c r="E11" i="17"/>
  <c r="G11" i="17"/>
  <c r="J11" i="17"/>
  <c r="M11" i="17"/>
  <c r="P11" i="17"/>
  <c r="S11" i="17"/>
  <c r="V11" i="17"/>
  <c r="Y11" i="17"/>
  <c r="E12" i="17"/>
  <c r="G12" i="17"/>
  <c r="J12" i="17"/>
  <c r="M12" i="17"/>
  <c r="P12" i="17"/>
  <c r="S12" i="17"/>
  <c r="V12" i="17"/>
  <c r="Y12" i="17"/>
  <c r="E3" i="17"/>
  <c r="G3" i="17"/>
  <c r="J3" i="17"/>
  <c r="M3" i="17"/>
  <c r="P3" i="17"/>
  <c r="S3" i="17"/>
  <c r="V3" i="17"/>
  <c r="Y3" i="17"/>
  <c r="E2" i="17"/>
  <c r="J2" i="17"/>
  <c r="M2" i="17"/>
  <c r="P2" i="17"/>
  <c r="S2" i="17"/>
  <c r="V2" i="17"/>
  <c r="Y2" i="17"/>
  <c r="G2" i="17"/>
  <c r="M48" i="7"/>
  <c r="M47" i="7"/>
  <c r="M46" i="7"/>
  <c r="M45" i="7"/>
  <c r="M44" i="7"/>
  <c r="M43" i="7"/>
  <c r="M42" i="7"/>
  <c r="M41" i="7"/>
  <c r="M40" i="7"/>
  <c r="M34" i="7"/>
  <c r="I5" i="9"/>
  <c r="I10" i="9"/>
  <c r="I20" i="9"/>
  <c r="I19" i="9"/>
  <c r="I18" i="9"/>
  <c r="I17" i="9"/>
  <c r="I16" i="9"/>
  <c r="I15" i="9"/>
  <c r="I14" i="9"/>
  <c r="I13" i="9"/>
  <c r="I21" i="9"/>
  <c r="I11" i="9"/>
  <c r="I4" i="9"/>
  <c r="I3" i="9"/>
  <c r="I8" i="9"/>
  <c r="I9" i="9"/>
  <c r="I12" i="9"/>
  <c r="I2" i="9"/>
  <c r="L22" i="13" l="1"/>
  <c r="I22" i="13"/>
  <c r="F22" i="13"/>
  <c r="M26" i="7"/>
  <c r="B22" i="13"/>
  <c r="D22" i="13"/>
  <c r="L29" i="13" l="1"/>
  <c r="I29" i="13"/>
  <c r="F29" i="13"/>
  <c r="D29" i="13"/>
  <c r="B29" i="13"/>
  <c r="L28" i="13"/>
  <c r="I28" i="13"/>
  <c r="F28" i="13"/>
  <c r="D28" i="13"/>
  <c r="B28" i="13"/>
  <c r="M33" i="7"/>
  <c r="M32" i="7"/>
  <c r="M31" i="7"/>
  <c r="L27" i="13"/>
  <c r="I27" i="13"/>
  <c r="F27" i="13"/>
  <c r="D27" i="13"/>
  <c r="B27" i="13"/>
  <c r="B12" i="16"/>
  <c r="B11" i="16"/>
  <c r="B10" i="16"/>
  <c r="B9" i="16"/>
  <c r="B8" i="16"/>
  <c r="B7" i="16"/>
  <c r="B6" i="16"/>
  <c r="B5" i="16"/>
  <c r="B4" i="16"/>
  <c r="B3" i="16"/>
  <c r="B2" i="16"/>
  <c r="L3" i="15" l="1"/>
  <c r="I3" i="15"/>
  <c r="F3" i="15"/>
  <c r="B3" i="15"/>
  <c r="D3" i="15"/>
  <c r="L2" i="15"/>
  <c r="I2" i="15"/>
  <c r="F2" i="15"/>
  <c r="B2" i="15"/>
  <c r="D2" i="15"/>
  <c r="M30" i="7" l="1"/>
  <c r="M29" i="7"/>
  <c r="M28" i="7"/>
  <c r="D2" i="2" l="1"/>
  <c r="L26" i="13" l="1"/>
  <c r="I26" i="13"/>
  <c r="F26" i="13"/>
  <c r="D26" i="13"/>
  <c r="B26" i="13"/>
  <c r="M20" i="7"/>
  <c r="L25" i="13"/>
  <c r="I25" i="13"/>
  <c r="F25" i="13"/>
  <c r="D25" i="13"/>
  <c r="B25" i="13"/>
  <c r="L24" i="13"/>
  <c r="I24" i="13"/>
  <c r="F24" i="13"/>
  <c r="D24" i="13"/>
  <c r="B24" i="13"/>
  <c r="D3" i="2" l="1"/>
  <c r="D4" i="2"/>
  <c r="D5" i="2"/>
  <c r="D6" i="2"/>
  <c r="D7" i="2"/>
  <c r="D8" i="2"/>
  <c r="D9" i="2"/>
  <c r="D10" i="2"/>
  <c r="D11" i="2"/>
  <c r="E3" i="14" l="1"/>
  <c r="E2" i="14"/>
  <c r="H11" i="2"/>
  <c r="H10" i="2"/>
  <c r="H9" i="2"/>
  <c r="L17" i="4" l="1"/>
  <c r="L18" i="4"/>
  <c r="L19" i="4"/>
  <c r="L20" i="4"/>
  <c r="L21" i="4"/>
  <c r="L22" i="4"/>
  <c r="L23" i="4"/>
  <c r="L16" i="4"/>
  <c r="L16" i="13" l="1"/>
  <c r="I16" i="13"/>
  <c r="F16" i="13"/>
  <c r="D16" i="13"/>
  <c r="H8" i="2" l="1"/>
  <c r="B21" i="13"/>
  <c r="D21" i="13"/>
  <c r="F21" i="13"/>
  <c r="I21" i="13"/>
  <c r="L21" i="13"/>
  <c r="B23" i="13"/>
  <c r="D23" i="13"/>
  <c r="F23" i="13"/>
  <c r="I23" i="13"/>
  <c r="L23" i="13"/>
  <c r="M25" i="7"/>
  <c r="B20" i="13"/>
  <c r="M16" i="7"/>
  <c r="M23" i="7"/>
  <c r="L18" i="13"/>
  <c r="I18" i="13"/>
  <c r="F18" i="13"/>
  <c r="D18" i="13"/>
  <c r="B18" i="13"/>
  <c r="H7" i="2"/>
  <c r="B17" i="13" l="1"/>
  <c r="D17" i="13"/>
  <c r="F17" i="13"/>
  <c r="I17" i="13"/>
  <c r="L17" i="13"/>
  <c r="B12" i="13" l="1"/>
  <c r="D12" i="13"/>
  <c r="F12" i="13"/>
  <c r="I12" i="13"/>
  <c r="L12" i="13"/>
  <c r="L3" i="13"/>
  <c r="L4" i="13"/>
  <c r="L5" i="13"/>
  <c r="L6" i="13"/>
  <c r="L7" i="13"/>
  <c r="L8" i="13"/>
  <c r="L9" i="13"/>
  <c r="L10" i="13"/>
  <c r="L11" i="13"/>
  <c r="L13" i="13"/>
  <c r="L14" i="13"/>
  <c r="L15" i="13"/>
  <c r="L19" i="13"/>
  <c r="L20" i="13"/>
  <c r="L2" i="13"/>
  <c r="I3" i="13"/>
  <c r="I4" i="13"/>
  <c r="I5" i="13"/>
  <c r="I6" i="13"/>
  <c r="I7" i="13"/>
  <c r="I8" i="13"/>
  <c r="I9" i="13"/>
  <c r="I10" i="13"/>
  <c r="I11" i="13"/>
  <c r="I13" i="13"/>
  <c r="I14" i="13"/>
  <c r="I15" i="13"/>
  <c r="I19" i="13"/>
  <c r="I20" i="13"/>
  <c r="I2" i="13"/>
  <c r="F3" i="13"/>
  <c r="F4" i="13"/>
  <c r="F5" i="13"/>
  <c r="F6" i="13"/>
  <c r="F7" i="13"/>
  <c r="F8" i="13"/>
  <c r="F9" i="13"/>
  <c r="F10" i="13"/>
  <c r="F11" i="13"/>
  <c r="F13" i="13"/>
  <c r="F14" i="13"/>
  <c r="F15" i="13"/>
  <c r="F19" i="13"/>
  <c r="F20" i="13"/>
  <c r="F2" i="13"/>
  <c r="B3" i="13"/>
  <c r="B4" i="13"/>
  <c r="B5" i="13"/>
  <c r="B6" i="13"/>
  <c r="B7" i="13"/>
  <c r="B8" i="13"/>
  <c r="B9" i="13"/>
  <c r="B10" i="13"/>
  <c r="B11" i="13"/>
  <c r="B13" i="13"/>
  <c r="B14" i="13"/>
  <c r="B15" i="13"/>
  <c r="B16" i="13"/>
  <c r="B19" i="13"/>
  <c r="B2" i="13"/>
  <c r="D3" i="13"/>
  <c r="D4" i="13"/>
  <c r="D5" i="13"/>
  <c r="D6" i="13"/>
  <c r="D7" i="13"/>
  <c r="D8" i="13"/>
  <c r="D9" i="13"/>
  <c r="D10" i="13"/>
  <c r="D11" i="13"/>
  <c r="D13" i="13"/>
  <c r="D14" i="13"/>
  <c r="D15" i="13"/>
  <c r="D19" i="13"/>
  <c r="D20" i="13"/>
  <c r="D2" i="13"/>
  <c r="M27" i="7"/>
  <c r="M22" i="7"/>
  <c r="H6" i="2"/>
  <c r="M15" i="7" l="1"/>
  <c r="M14" i="7"/>
  <c r="M17" i="7"/>
  <c r="M18" i="7"/>
  <c r="M19" i="7"/>
  <c r="M21" i="7"/>
  <c r="M13" i="7"/>
  <c r="M12" i="7"/>
  <c r="M11" i="7"/>
  <c r="M24" i="7"/>
  <c r="M10" i="7"/>
  <c r="M9" i="7"/>
  <c r="M8" i="7"/>
  <c r="M7" i="7"/>
  <c r="M6" i="7"/>
  <c r="M5" i="7"/>
  <c r="M4" i="7"/>
  <c r="M3" i="7"/>
  <c r="M2" i="7"/>
  <c r="F42" i="4" l="1"/>
  <c r="G42" i="4" s="1"/>
  <c r="B41" i="3" s="1"/>
  <c r="F43" i="4"/>
  <c r="G43" i="4" s="1"/>
  <c r="B42" i="3" s="1"/>
  <c r="F44" i="4"/>
  <c r="G44" i="4" s="1"/>
  <c r="B43" i="3" s="1"/>
  <c r="F45" i="4"/>
  <c r="G45" i="4" s="1"/>
  <c r="B44" i="3" s="1"/>
  <c r="F46" i="4"/>
  <c r="G46" i="4" s="1"/>
  <c r="B45" i="3" s="1"/>
  <c r="F47" i="4"/>
  <c r="G47" i="4"/>
  <c r="B46" i="3" s="1"/>
  <c r="F48" i="4"/>
  <c r="G48" i="4"/>
  <c r="B47" i="3" s="1"/>
  <c r="F49" i="4"/>
  <c r="G49" i="4"/>
  <c r="B48" i="3" s="1"/>
  <c r="F50" i="4"/>
  <c r="G50" i="4" s="1"/>
  <c r="B49" i="3" s="1"/>
  <c r="F51" i="4"/>
  <c r="G51" i="4" s="1"/>
  <c r="B50" i="3" s="1"/>
  <c r="F52" i="4"/>
  <c r="G52" i="4" s="1"/>
  <c r="F53" i="4"/>
  <c r="G53" i="4"/>
  <c r="F54" i="4"/>
  <c r="G54" i="4"/>
  <c r="F55" i="4"/>
  <c r="G55" i="4"/>
  <c r="F28" i="4"/>
  <c r="G28" i="4" s="1"/>
  <c r="F29" i="4"/>
  <c r="G29" i="4"/>
  <c r="F30" i="4"/>
  <c r="G30" i="4" s="1"/>
  <c r="F31" i="4"/>
  <c r="G31" i="4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 s="1"/>
  <c r="B40" i="3" s="1"/>
  <c r="H3" i="2" l="1"/>
  <c r="H4" i="2"/>
  <c r="H5" i="2"/>
  <c r="F27" i="4" l="1"/>
  <c r="G27" i="4" s="1"/>
  <c r="F26" i="4"/>
  <c r="G26" i="4" s="1"/>
  <c r="F25" i="4"/>
  <c r="G25" i="4" s="1"/>
  <c r="F24" i="4"/>
  <c r="G24" i="4" s="1"/>
  <c r="F23" i="4"/>
  <c r="G23" i="4" s="1"/>
  <c r="F22" i="4"/>
  <c r="G22" i="4" s="1"/>
  <c r="F21" i="4"/>
  <c r="G21" i="4" s="1"/>
  <c r="G20" i="4"/>
  <c r="F20" i="4"/>
  <c r="F19" i="4"/>
  <c r="G19" i="4" s="1"/>
  <c r="F18" i="4"/>
  <c r="G18" i="4" s="1"/>
  <c r="F17" i="4"/>
  <c r="G17" i="4" s="1"/>
  <c r="F16" i="4"/>
  <c r="G16" i="4" s="1"/>
  <c r="F15" i="4"/>
  <c r="G15" i="4" s="1"/>
  <c r="F14" i="4"/>
  <c r="G14" i="4" s="1"/>
  <c r="F13" i="4"/>
  <c r="G13" i="4" s="1"/>
  <c r="G12" i="4"/>
  <c r="F12" i="4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G4" i="4"/>
  <c r="F4" i="4"/>
  <c r="F3" i="4"/>
  <c r="H2" i="2"/>
</calcChain>
</file>

<file path=xl/sharedStrings.xml><?xml version="1.0" encoding="utf-8"?>
<sst xmlns="http://schemas.openxmlformats.org/spreadsheetml/2006/main" count="901" uniqueCount="317">
  <si>
    <t>id</t>
  </si>
  <si>
    <t>name</t>
  </si>
  <si>
    <t>description</t>
  </si>
  <si>
    <t>slug</t>
  </si>
  <si>
    <t>Wheat</t>
  </si>
  <si>
    <t>Descriptions</t>
  </si>
  <si>
    <t>Crops</t>
  </si>
  <si>
    <t>Products</t>
  </si>
  <si>
    <t>Corn</t>
  </si>
  <si>
    <t>Strawberry</t>
  </si>
  <si>
    <t>Pumpkin</t>
  </si>
  <si>
    <t>Tomato</t>
  </si>
  <si>
    <t>deployTime</t>
  </si>
  <si>
    <t>grow crops</t>
  </si>
  <si>
    <t>GrassTile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</si>
  <si>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</si>
  <si>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</si>
  <si>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</si>
  <si>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</si>
  <si>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</si>
  <si>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</si>
  <si>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</si>
  <si>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</si>
  <si>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</si>
  <si>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</si>
  <si>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</si>
  <si>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gemsRewardCount</t>
  </si>
  <si>
    <t>Output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</si>
  <si>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</si>
  <si>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</si>
  <si>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</si>
  <si>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</si>
  <si>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</si>
  <si>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</si>
  <si>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</si>
  <si>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Hayday</t>
  </si>
  <si>
    <t>AppleTree</t>
  </si>
  <si>
    <t>Carrot</t>
  </si>
  <si>
    <t>BeehiveTree</t>
  </si>
  <si>
    <t>Suppliers</t>
  </si>
  <si>
    <t>BlackberryBush</t>
  </si>
  <si>
    <t>CacaoTree</t>
  </si>
  <si>
    <t>CakeOven</t>
  </si>
  <si>
    <t>Cotton</t>
  </si>
  <si>
    <t>CherryTree</t>
  </si>
  <si>
    <t>Chicken</t>
  </si>
  <si>
    <t>Cow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</si>
  <si>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</si>
  <si>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</si>
  <si>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</si>
  <si>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</si>
  <si>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</si>
  <si>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</si>
  <si>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</si>
  <si>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</si>
  <si>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NetMaker</t>
  </si>
  <si>
    <t>Pig</t>
  </si>
  <si>
    <t>RaspberryBush</t>
  </si>
  <si>
    <t>SewingMachine</t>
  </si>
  <si>
    <t>Sheep</t>
  </si>
  <si>
    <t>Smelter</t>
  </si>
  <si>
    <t>Animals</t>
  </si>
  <si>
    <t>Mines</t>
  </si>
  <si>
    <t>hitPoints</t>
  </si>
  <si>
    <t>FarmBed</t>
  </si>
  <si>
    <t>xpOnHarvest</t>
  </si>
  <si>
    <t>Beet</t>
  </si>
  <si>
    <t>Cocoa</t>
  </si>
  <si>
    <t>CoffeeBean</t>
  </si>
  <si>
    <t>HotPepper</t>
  </si>
  <si>
    <t>Potato</t>
  </si>
  <si>
    <t>itemUnlockId1</t>
  </si>
  <si>
    <t>itemUnlockId2</t>
  </si>
  <si>
    <t>itemUnlockId3</t>
  </si>
  <si>
    <t>buildingUnlockId1</t>
  </si>
  <si>
    <t>buildingUnlockId2</t>
  </si>
  <si>
    <t>buildingUnlockId3</t>
  </si>
  <si>
    <t>Source</t>
  </si>
  <si>
    <t>Rock</t>
  </si>
  <si>
    <t>Iron Rock</t>
  </si>
  <si>
    <t>Copper Rock</t>
  </si>
  <si>
    <t>outputItemId</t>
  </si>
  <si>
    <t>Gem Rock</t>
  </si>
  <si>
    <t>sellValueInCoins</t>
  </si>
  <si>
    <t>xpOnSell</t>
  </si>
  <si>
    <t>Bread</t>
  </si>
  <si>
    <t>Cookie</t>
  </si>
  <si>
    <t>Chicken Coop</t>
  </si>
  <si>
    <t>"=AllItems!$B$2:$B$1000"</t>
  </si>
  <si>
    <t>Data validation</t>
  </si>
  <si>
    <t>Item Id by name</t>
  </si>
  <si>
    <t>"=IFNA( INDEX(AllItems!$A$2:$A$1000,MATCH(H2,AllItems!$B$2:$B$1000,0)), "")</t>
  </si>
  <si>
    <t>reqId1</t>
  </si>
  <si>
    <t>reqCount1</t>
  </si>
  <si>
    <t>reqName1</t>
  </si>
  <si>
    <t>reqName2</t>
  </si>
  <si>
    <t>reqId2</t>
  </si>
  <si>
    <t>reqCount2</t>
  </si>
  <si>
    <t>reqName3</t>
  </si>
  <si>
    <t>reqId3</t>
  </si>
  <si>
    <t>reqCount3</t>
  </si>
  <si>
    <t>buyValueInGems</t>
  </si>
  <si>
    <t>Egg</t>
  </si>
  <si>
    <t>Milk</t>
  </si>
  <si>
    <t>Cow Shed</t>
  </si>
  <si>
    <t>outputName</t>
  </si>
  <si>
    <t>outputId</t>
  </si>
  <si>
    <t>Cheese</t>
  </si>
  <si>
    <t>Butter</t>
  </si>
  <si>
    <t>Corn Bread</t>
  </si>
  <si>
    <t>Raised Bed</t>
  </si>
  <si>
    <t>Apple Tree</t>
  </si>
  <si>
    <t>Produces apples</t>
  </si>
  <si>
    <t>Apple</t>
  </si>
  <si>
    <t>Apple Pie</t>
  </si>
  <si>
    <t>sourceName</t>
  </si>
  <si>
    <t>sourceId</t>
  </si>
  <si>
    <t>yieldDurationInMins</t>
  </si>
  <si>
    <t>coinCost:HarvertTimes</t>
  </si>
  <si>
    <t>Orange Tree</t>
  </si>
  <si>
    <t>Produces oranges</t>
  </si>
  <si>
    <t>Orange</t>
  </si>
  <si>
    <t>removeByCoins</t>
  </si>
  <si>
    <t>Apple Juice</t>
  </si>
  <si>
    <t>Orange Juice</t>
  </si>
  <si>
    <t>Juice Maker</t>
  </si>
  <si>
    <t>Makes various juice</t>
  </si>
  <si>
    <t>Like all crops they are stored in the barn</t>
  </si>
  <si>
    <t>Wheat is a grass widely cultivated for its seed</t>
  </si>
  <si>
    <t>Corn is a variety of maize with a high sugar content</t>
  </si>
  <si>
    <t>The carrot is a root vegetable usually orange in colour</t>
  </si>
  <si>
    <t>The strawberry is not a berry from a botanical point of view</t>
  </si>
  <si>
    <t>Made by the maceration and pressing of apples</t>
  </si>
  <si>
    <t>Orange juice is a liquid extract of the orange fruits</t>
  </si>
  <si>
    <t>Often served with whipped cream or ice cream</t>
  </si>
  <si>
    <t>For best results bake cookies on middle oven rack</t>
  </si>
  <si>
    <t>A quick bread containing cornmeal</t>
  </si>
  <si>
    <t>It is one of the oldest man-made foods</t>
  </si>
  <si>
    <t>category</t>
  </si>
  <si>
    <t>Category</t>
  </si>
  <si>
    <t>Farm</t>
  </si>
  <si>
    <t>Orchard</t>
  </si>
  <si>
    <t>Decoration</t>
  </si>
  <si>
    <t>categoryId</t>
  </si>
  <si>
    <t>Sugar Mill</t>
  </si>
  <si>
    <t>Furnace</t>
  </si>
  <si>
    <t>buildCostGems</t>
  </si>
  <si>
    <t>buildCostCoins</t>
  </si>
  <si>
    <t>a</t>
  </si>
  <si>
    <t>Cream</t>
  </si>
  <si>
    <t>Green Bench</t>
  </si>
  <si>
    <t>Floor Tile Brown</t>
  </si>
  <si>
    <t>Mining</t>
  </si>
  <si>
    <t>Id</t>
  </si>
  <si>
    <t>Chicken Feed</t>
  </si>
  <si>
    <t>Cow Feed</t>
  </si>
  <si>
    <t>Hay</t>
  </si>
  <si>
    <t>feedName1</t>
  </si>
  <si>
    <t>feedId1</t>
  </si>
  <si>
    <t>feedCount1</t>
  </si>
  <si>
    <t>feedName2</t>
  </si>
  <si>
    <t>feedId2</t>
  </si>
  <si>
    <t>feedCount2</t>
  </si>
  <si>
    <t>feedName3</t>
  </si>
  <si>
    <t>feedId3</t>
  </si>
  <si>
    <t>feedCost</t>
  </si>
  <si>
    <t>coinCost</t>
  </si>
  <si>
    <t>Cocoa makes chocolate</t>
  </si>
  <si>
    <t>Sugar</t>
  </si>
  <si>
    <t>Corn Syrup</t>
  </si>
  <si>
    <t>Caramel</t>
  </si>
  <si>
    <t>Sweet item</t>
  </si>
  <si>
    <t>Strawberry Shake</t>
  </si>
  <si>
    <t>Made by the Strawberry and Milk</t>
  </si>
  <si>
    <t>Soft Rock</t>
  </si>
  <si>
    <t>Hard Rock</t>
  </si>
  <si>
    <t>Gold Rock</t>
  </si>
  <si>
    <t>Crystal Rock</t>
  </si>
  <si>
    <t>minDrop</t>
  </si>
  <si>
    <t>maxDrop</t>
  </si>
  <si>
    <t>xpOnDrop</t>
  </si>
  <si>
    <t>Wooden Box</t>
  </si>
  <si>
    <t>Wooden Barrrel</t>
  </si>
  <si>
    <t>Emerald Rock</t>
  </si>
  <si>
    <t>Emerald</t>
  </si>
  <si>
    <t>Sapphire</t>
  </si>
  <si>
    <t>Ruby</t>
  </si>
  <si>
    <t>Amethyst</t>
  </si>
  <si>
    <t>Silver Rock</t>
  </si>
  <si>
    <t>Sapphire Rock</t>
  </si>
  <si>
    <t>Ruby Rock</t>
  </si>
  <si>
    <t>Amethyst Rock</t>
  </si>
  <si>
    <t>Quartz Rock</t>
  </si>
  <si>
    <t>Dark Rock</t>
  </si>
  <si>
    <t>Stone</t>
  </si>
  <si>
    <t>Coal</t>
  </si>
  <si>
    <t>Copper Ore</t>
  </si>
  <si>
    <t>Copper Bar</t>
  </si>
  <si>
    <t>Iron Ore</t>
  </si>
  <si>
    <t>Iron Bar</t>
  </si>
  <si>
    <t>Silver Ore</t>
  </si>
  <si>
    <t>Gold Ore</t>
  </si>
  <si>
    <t>Gold Bar</t>
  </si>
  <si>
    <t>Silver Bar</t>
  </si>
  <si>
    <t xml:space="preserve">Mining minerals </t>
  </si>
  <si>
    <t>levelId</t>
  </si>
  <si>
    <t>totalProb</t>
  </si>
  <si>
    <t>laderMin</t>
  </si>
  <si>
    <t>laderMax</t>
  </si>
  <si>
    <t>outputItemName</t>
  </si>
  <si>
    <t>Gem</t>
  </si>
  <si>
    <t>Wood</t>
  </si>
  <si>
    <t>Hard Wood</t>
  </si>
  <si>
    <t>Soft Wood</t>
  </si>
  <si>
    <t>Clay</t>
  </si>
  <si>
    <t>Basic supplies</t>
  </si>
  <si>
    <t>Clay Rock</t>
  </si>
  <si>
    <t>Quartz</t>
  </si>
  <si>
    <t>Crystal</t>
  </si>
  <si>
    <t>Diamond Rock</t>
  </si>
  <si>
    <t>Diamond</t>
  </si>
  <si>
    <t>levelMapName</t>
  </si>
  <si>
    <t>Big Rock</t>
  </si>
  <si>
    <t>totalMonsterProb</t>
  </si>
  <si>
    <t>xpOnKill</t>
  </si>
  <si>
    <t>outputOnKill</t>
  </si>
  <si>
    <t>Small Slime</t>
  </si>
  <si>
    <t>Green Slime</t>
  </si>
  <si>
    <t>Purple Slime</t>
  </si>
  <si>
    <t>health</t>
  </si>
  <si>
    <t>name1</t>
  </si>
  <si>
    <t>id1</t>
  </si>
  <si>
    <t>prob1</t>
  </si>
  <si>
    <t>name2</t>
  </si>
  <si>
    <t>id2</t>
  </si>
  <si>
    <t>prob2</t>
  </si>
  <si>
    <t>name3</t>
  </si>
  <si>
    <t>id3</t>
  </si>
  <si>
    <t>prob3</t>
  </si>
  <si>
    <t>name4</t>
  </si>
  <si>
    <t>id4</t>
  </si>
  <si>
    <t>prob4</t>
  </si>
  <si>
    <t>name5</t>
  </si>
  <si>
    <t>id5</t>
  </si>
  <si>
    <t>prob5</t>
  </si>
  <si>
    <t>name6</t>
  </si>
  <si>
    <t>id6</t>
  </si>
  <si>
    <t>prob6</t>
  </si>
  <si>
    <t>name7</t>
  </si>
  <si>
    <t>id7</t>
  </si>
  <si>
    <t>prob7</t>
  </si>
  <si>
    <t>MonsterType</t>
  </si>
  <si>
    <t>MonsterIdleState</t>
  </si>
  <si>
    <t>type</t>
  </si>
  <si>
    <t>idleState</t>
  </si>
  <si>
    <t>wanderRepeatRate</t>
  </si>
  <si>
    <t>wanderRadius</t>
  </si>
  <si>
    <t>damage</t>
  </si>
  <si>
    <t>knockBackDistance</t>
  </si>
  <si>
    <t>viewRadius</t>
  </si>
  <si>
    <t>attackRadius</t>
  </si>
  <si>
    <t>alertSpeed</t>
  </si>
  <si>
    <t>baseSpeed</t>
  </si>
  <si>
    <t>Shooting</t>
  </si>
  <si>
    <t>Patrol</t>
  </si>
  <si>
    <t>FollowAndKill</t>
  </si>
  <si>
    <t>Still</t>
  </si>
  <si>
    <t>Wander</t>
  </si>
  <si>
    <t>Small Pine Tree</t>
  </si>
  <si>
    <t>Medium Pine Tree</t>
  </si>
  <si>
    <t>Large Pine Tree</t>
  </si>
  <si>
    <t>Birch Log</t>
  </si>
  <si>
    <t>Pine Log</t>
  </si>
  <si>
    <t>Bat</t>
  </si>
  <si>
    <t>Tarantula</t>
  </si>
  <si>
    <t>Fish material</t>
  </si>
  <si>
    <t>rodLevel</t>
  </si>
  <si>
    <t>locationId</t>
  </si>
  <si>
    <t>strugglePower</t>
  </si>
  <si>
    <t>Bream</t>
  </si>
  <si>
    <t>Crayfish</t>
  </si>
  <si>
    <t>Ghostfish</t>
  </si>
  <si>
    <t>Glowfish</t>
  </si>
  <si>
    <t>Goldfish</t>
  </si>
  <si>
    <t>Greenling</t>
  </si>
  <si>
    <t>Herring</t>
  </si>
  <si>
    <t>Perch</t>
  </si>
  <si>
    <t>Roach</t>
  </si>
  <si>
    <t>Salmon</t>
  </si>
  <si>
    <t>Sardine</t>
  </si>
  <si>
    <t>Shad</t>
  </si>
  <si>
    <t>Sturgeon</t>
  </si>
  <si>
    <t>Sunfish</t>
  </si>
  <si>
    <t>Walleye</t>
  </si>
  <si>
    <t>Blue Catfish</t>
  </si>
  <si>
    <t>Brown Trout</t>
  </si>
  <si>
    <t>Creek Chub</t>
  </si>
  <si>
    <t>Golden Trout</t>
  </si>
  <si>
    <t>Grass Carp</t>
  </si>
  <si>
    <t>Northern Pike</t>
  </si>
  <si>
    <t>Rainbow Trout</t>
  </si>
  <si>
    <t>Red Snapper</t>
  </si>
  <si>
    <t>Silver Carp</t>
  </si>
  <si>
    <t>minLengthInCm</t>
  </si>
  <si>
    <t>maxLengthInCm</t>
  </si>
  <si>
    <t>Bighead Carp</t>
  </si>
  <si>
    <t>fishId</t>
  </si>
  <si>
    <t>maxBaitWait</t>
  </si>
  <si>
    <t>minBaitWait</t>
  </si>
  <si>
    <t>Fishbones</t>
  </si>
  <si>
    <t>Trash material</t>
  </si>
  <si>
    <t>Empty Can</t>
  </si>
  <si>
    <t>energyRestore</t>
  </si>
  <si>
    <t>healthRestore</t>
  </si>
  <si>
    <t>Weapon</t>
  </si>
  <si>
    <t>F:\Projects\MT\MT\Assets\Resources\GameCsv</t>
  </si>
  <si>
    <t>New Fish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</si>
</sst>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  <font>
      <b/>
      <sz val="11"/>
      <color theme="1"/>
      <name val="Calibri"/>
      <family val="2"/>
      <scheme val="minor"/>
    </font>
    <font>
      <sz val="8"/>
      <name val="Calibri"/>
      <charset val="134"/>
      <scheme val="minor"/>
    </font>
    <font>
      <b/>
      <sz val="11"/>
      <color rgb="FF333333"/>
      <name val="Consolas"/>
      <family val="3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308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20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1" fillId="0" borderId="0" xfId="0" applyFont="1" applyAlignment="1">
      <alignment horizontal="left"/>
    </xf>
    <xf numFmtId="1" fontId="21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" fontId="20" fillId="0" borderId="0" xfId="0" applyNumberFormat="1" applyFont="1" applyAlignment="1">
      <alignment horizontal="left"/>
    </xf>
    <xf numFmtId="0" fontId="23" fillId="0" borderId="0" xfId="0" applyFont="1"/>
    <xf numFmtId="0" fontId="23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24" fillId="0" borderId="0" xfId="0" applyFont="1"/>
    <xf numFmtId="0" fontId="22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 applyFill="1" applyAlignment="1"/>
    <xf numFmtId="0" fontId="0" fillId="3" borderId="0" xfId="0" applyFill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4" borderId="0" xfId="0" applyFill="1"/>
    <xf numFmtId="1" fontId="0" fillId="5" borderId="1" xfId="0" applyNumberFormat="1" applyFill="1" applyBorder="1"/>
    <xf numFmtId="0" fontId="0" fillId="5" borderId="0" xfId="0" applyFill="1"/>
    <xf numFmtId="0" fontId="25" fillId="0" borderId="1" xfId="0" applyFont="1" applyBorder="1"/>
    <xf numFmtId="0" fontId="25" fillId="5" borderId="1" xfId="0" applyFont="1" applyFill="1" applyBorder="1"/>
    <xf numFmtId="0" fontId="27" fillId="0" borderId="1" xfId="0" applyFont="1" applyBorder="1"/>
    <xf numFmtId="0" fontId="25" fillId="0" borderId="0" xfId="0" applyFont="1"/>
    <xf numFmtId="0" fontId="25" fillId="6" borderId="1" xfId="0" applyFont="1" applyFill="1" applyBorder="1"/>
    <xf numFmtId="0" fontId="25" fillId="7" borderId="1" xfId="0" applyFont="1" applyFill="1" applyBorder="1"/>
    <xf numFmtId="0" fontId="28" fillId="0" borderId="0" xfId="0" applyFont="1" applyAlignment="1">
      <alignment horizontal="left" vertical="center"/>
    </xf>
    <xf numFmtId="0" fontId="25" fillId="0" borderId="0" xfId="0" applyFont="1" applyAlignment="1">
      <alignment horizontal="left"/>
    </xf>
    <xf numFmtId="49" fontId="19" fillId="0" borderId="0" xfId="0" applyNumberFormat="1" applyFont="1" applyFill="1"/>
    <xf numFmtId="0" fontId="25" fillId="0" borderId="0" xfId="0" applyFont="1" applyFill="1"/>
    <xf numFmtId="0" fontId="25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/>
    </xf>
    <xf numFmtId="0" fontId="19" fillId="0" borderId="0" xfId="0" applyFont="1" applyFill="1" applyAlignment="1">
      <alignment horizontal="left"/>
    </xf>
    <xf numFmtId="0" fontId="25" fillId="0" borderId="0" xfId="0" applyFont="1" applyAlignment="1"/>
    <xf numFmtId="49" fontId="18" fillId="0" borderId="0" xfId="0" applyNumberFormat="1" applyFont="1" applyFill="1"/>
    <xf numFmtId="0" fontId="18" fillId="0" borderId="0" xfId="0" applyFont="1"/>
    <xf numFmtId="0" fontId="18" fillId="0" borderId="0" xfId="0" applyFont="1" applyAlignment="1">
      <alignment horizontal="left"/>
    </xf>
    <xf numFmtId="0" fontId="0" fillId="0" borderId="2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8" borderId="2" xfId="0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30" fillId="8" borderId="2" xfId="0" applyFont="1" applyFill="1" applyBorder="1" applyAlignment="1" applyProtection="1">
      <alignment horizontal="center"/>
    </xf>
    <xf numFmtId="0" fontId="30" fillId="0" borderId="2" xfId="0" applyFont="1" applyFill="1" applyBorder="1" applyAlignment="1" applyProtection="1">
      <alignment horizontal="center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</xf>
    <xf numFmtId="0" fontId="30" fillId="9" borderId="2" xfId="0" applyFont="1" applyFill="1" applyBorder="1" applyAlignment="1" applyProtection="1">
      <alignment horizontal="center"/>
    </xf>
    <xf numFmtId="0" fontId="30" fillId="4" borderId="2" xfId="0" applyFont="1" applyFill="1" applyBorder="1" applyAlignment="1" applyProtection="1">
      <alignment horizontal="center"/>
    </xf>
    <xf numFmtId="0" fontId="18" fillId="4" borderId="2" xfId="0" applyFont="1" applyFill="1" applyBorder="1" applyAlignment="1" applyProtection="1">
      <alignment horizontal="center"/>
      <protection locked="0"/>
    </xf>
    <xf numFmtId="49" fontId="0" fillId="3" borderId="0" xfId="0" applyNumberFormat="1" applyFill="1"/>
    <xf numFmtId="0" fontId="0" fillId="0" borderId="0" xfId="0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5" borderId="0" xfId="0" applyFont="1" applyFill="1"/>
    <xf numFmtId="0" fontId="0" fillId="5" borderId="0" xfId="0" applyFill="1" applyAlignment="1">
      <alignment horizontal="center" vertical="center"/>
    </xf>
    <xf numFmtId="0" fontId="0" fillId="5" borderId="2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Alignment="1"/>
    <xf numFmtId="0" fontId="15" fillId="5" borderId="0" xfId="0" applyFont="1" applyFill="1"/>
    <xf numFmtId="0" fontId="0" fillId="10" borderId="0" xfId="0" applyFill="1"/>
    <xf numFmtId="0" fontId="0" fillId="10" borderId="0" xfId="0" applyFill="1" applyAlignment="1">
      <alignment horizontal="center" vertical="center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0" xfId="0" applyFill="1" applyBorder="1" applyAlignment="1" applyProtection="1">
      <alignment horizontal="center"/>
      <protection locked="0"/>
    </xf>
    <xf numFmtId="0" fontId="0" fillId="10" borderId="0" xfId="0" applyFill="1" applyAlignment="1"/>
    <xf numFmtId="0" fontId="15" fillId="10" borderId="0" xfId="0" applyFont="1" applyFill="1"/>
    <xf numFmtId="0" fontId="0" fillId="11" borderId="0" xfId="0" applyFill="1"/>
    <xf numFmtId="0" fontId="18" fillId="11" borderId="0" xfId="0" applyFont="1" applyFill="1"/>
    <xf numFmtId="0" fontId="0" fillId="11" borderId="0" xfId="0" applyFill="1" applyAlignment="1">
      <alignment horizontal="center" vertical="center"/>
    </xf>
    <xf numFmtId="0" fontId="0" fillId="11" borderId="2" xfId="0" applyFill="1" applyBorder="1" applyAlignment="1" applyProtection="1">
      <alignment horizontal="center"/>
      <protection locked="0"/>
    </xf>
    <xf numFmtId="0" fontId="0" fillId="11" borderId="0" xfId="0" applyFill="1" applyBorder="1" applyAlignment="1" applyProtection="1">
      <alignment horizontal="center"/>
      <protection locked="0"/>
    </xf>
    <xf numFmtId="0" fontId="0" fillId="11" borderId="0" xfId="0" applyFill="1" applyAlignment="1"/>
    <xf numFmtId="0" fontId="0" fillId="9" borderId="0" xfId="0" applyFill="1"/>
    <xf numFmtId="0" fontId="19" fillId="9" borderId="0" xfId="0" applyFont="1" applyFill="1"/>
    <xf numFmtId="0" fontId="0" fillId="9" borderId="0" xfId="0" applyFill="1" applyAlignment="1">
      <alignment horizontal="center" vertical="center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Alignment="1"/>
    <xf numFmtId="0" fontId="17" fillId="9" borderId="0" xfId="0" applyFont="1" applyFill="1"/>
    <xf numFmtId="0" fontId="16" fillId="9" borderId="0" xfId="0" applyFont="1" applyFill="1"/>
    <xf numFmtId="0" fontId="0" fillId="3" borderId="0" xfId="0" applyFill="1" applyProtection="1"/>
    <xf numFmtId="0" fontId="0" fillId="9" borderId="4" xfId="0" applyFill="1" applyBorder="1" applyProtection="1">
      <protection locked="0"/>
    </xf>
    <xf numFmtId="0" fontId="30" fillId="0" borderId="5" xfId="0" applyFont="1" applyBorder="1" applyAlignment="1" applyProtection="1">
      <alignment horizontal="center"/>
    </xf>
    <xf numFmtId="0" fontId="0" fillId="0" borderId="5" xfId="0" applyBorder="1" applyProtection="1">
      <protection locked="0"/>
    </xf>
    <xf numFmtId="0" fontId="0" fillId="9" borderId="5" xfId="0" applyFill="1" applyBorder="1" applyProtection="1">
      <protection locked="0"/>
    </xf>
    <xf numFmtId="0" fontId="30" fillId="9" borderId="5" xfId="0" applyFont="1" applyFill="1" applyBorder="1" applyAlignment="1" applyProtection="1">
      <alignment horizontal="center"/>
    </xf>
    <xf numFmtId="0" fontId="0" fillId="9" borderId="5" xfId="0" applyFill="1" applyBorder="1" applyAlignment="1" applyProtection="1">
      <alignment horizontal="center"/>
      <protection locked="0"/>
    </xf>
    <xf numFmtId="0" fontId="0" fillId="8" borderId="5" xfId="0" applyFill="1" applyBorder="1" applyProtection="1">
      <protection locked="0"/>
    </xf>
    <xf numFmtId="0" fontId="30" fillId="8" borderId="5" xfId="0" applyFont="1" applyFill="1" applyBorder="1" applyAlignment="1" applyProtection="1">
      <alignment horizontal="center"/>
    </xf>
    <xf numFmtId="0" fontId="0" fillId="8" borderId="5" xfId="0" applyFill="1" applyBorder="1" applyAlignment="1" applyProtection="1">
      <alignment horizontal="center"/>
      <protection locked="0"/>
    </xf>
    <xf numFmtId="0" fontId="0" fillId="4" borderId="5" xfId="0" applyFill="1" applyBorder="1" applyProtection="1">
      <protection locked="0"/>
    </xf>
    <xf numFmtId="0" fontId="30" fillId="4" borderId="5" xfId="0" applyFont="1" applyFill="1" applyBorder="1" applyAlignment="1" applyProtection="1">
      <alignment horizontal="center"/>
    </xf>
    <xf numFmtId="0" fontId="18" fillId="4" borderId="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Fill="1" applyBorder="1"/>
    <xf numFmtId="0" fontId="0" fillId="9" borderId="7" xfId="0" applyFill="1" applyBorder="1" applyProtection="1">
      <protection locked="0"/>
    </xf>
    <xf numFmtId="0" fontId="0" fillId="0" borderId="0" xfId="0" applyFill="1" applyBorder="1"/>
    <xf numFmtId="0" fontId="0" fillId="9" borderId="8" xfId="0" applyFill="1" applyBorder="1" applyProtection="1">
      <protection locked="0"/>
    </xf>
    <xf numFmtId="0" fontId="30" fillId="0" borderId="9" xfId="0" applyFont="1" applyBorder="1" applyAlignment="1" applyProtection="1">
      <alignment horizontal="center"/>
    </xf>
    <xf numFmtId="0" fontId="0" fillId="0" borderId="9" xfId="0" applyBorder="1" applyProtection="1">
      <protection locked="0"/>
    </xf>
    <xf numFmtId="0" fontId="0" fillId="9" borderId="9" xfId="0" applyFill="1" applyBorder="1" applyProtection="1">
      <protection locked="0"/>
    </xf>
    <xf numFmtId="0" fontId="30" fillId="9" borderId="9" xfId="0" applyFont="1" applyFill="1" applyBorder="1" applyAlignment="1" applyProtection="1">
      <alignment horizontal="center"/>
    </xf>
    <xf numFmtId="0" fontId="0" fillId="9" borderId="9" xfId="0" applyFill="1" applyBorder="1" applyAlignment="1" applyProtection="1">
      <alignment horizontal="center"/>
      <protection locked="0"/>
    </xf>
    <xf numFmtId="0" fontId="0" fillId="8" borderId="9" xfId="0" applyFill="1" applyBorder="1" applyProtection="1">
      <protection locked="0"/>
    </xf>
    <xf numFmtId="0" fontId="30" fillId="8" borderId="9" xfId="0" applyFont="1" applyFill="1" applyBorder="1" applyAlignment="1" applyProtection="1">
      <alignment horizontal="center"/>
    </xf>
    <xf numFmtId="0" fontId="0" fillId="8" borderId="9" xfId="0" applyFill="1" applyBorder="1" applyAlignment="1" applyProtection="1">
      <alignment horizontal="center"/>
      <protection locked="0"/>
    </xf>
    <xf numFmtId="0" fontId="0" fillId="4" borderId="9" xfId="0" applyFill="1" applyBorder="1" applyProtection="1">
      <protection locked="0"/>
    </xf>
    <xf numFmtId="0" fontId="30" fillId="4" borderId="9" xfId="0" applyFont="1" applyFill="1" applyBorder="1" applyAlignment="1" applyProtection="1">
      <alignment horizontal="center"/>
    </xf>
    <xf numFmtId="0" fontId="18" fillId="4" borderId="9" xfId="0" applyFont="1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Fill="1" applyBorder="1"/>
    <xf numFmtId="0" fontId="25" fillId="0" borderId="3" xfId="0" applyFont="1" applyBorder="1" applyProtection="1">
      <protection locked="0"/>
    </xf>
    <xf numFmtId="0" fontId="31" fillId="0" borderId="3" xfId="0" applyFont="1" applyBorder="1" applyAlignment="1" applyProtection="1">
      <alignment horizontal="center"/>
    </xf>
    <xf numFmtId="0" fontId="25" fillId="9" borderId="3" xfId="0" applyFont="1" applyFill="1" applyBorder="1" applyProtection="1">
      <protection locked="0"/>
    </xf>
    <xf numFmtId="0" fontId="31" fillId="9" borderId="3" xfId="0" applyFont="1" applyFill="1" applyBorder="1" applyAlignment="1" applyProtection="1">
      <alignment horizontal="center"/>
    </xf>
    <xf numFmtId="0" fontId="25" fillId="9" borderId="3" xfId="0" applyFont="1" applyFill="1" applyBorder="1" applyAlignment="1" applyProtection="1">
      <alignment horizontal="center"/>
      <protection locked="0"/>
    </xf>
    <xf numFmtId="0" fontId="25" fillId="8" borderId="3" xfId="0" applyFont="1" applyFill="1" applyBorder="1" applyProtection="1">
      <protection locked="0"/>
    </xf>
    <xf numFmtId="0" fontId="31" fillId="8" borderId="3" xfId="0" applyFont="1" applyFill="1" applyBorder="1" applyAlignment="1" applyProtection="1">
      <alignment horizontal="center"/>
    </xf>
    <xf numFmtId="0" fontId="25" fillId="8" borderId="3" xfId="0" applyFont="1" applyFill="1" applyBorder="1" applyAlignment="1" applyProtection="1">
      <alignment horizontal="center"/>
      <protection locked="0"/>
    </xf>
    <xf numFmtId="0" fontId="25" fillId="4" borderId="3" xfId="0" applyFont="1" applyFill="1" applyBorder="1" applyProtection="1">
      <protection locked="0"/>
    </xf>
    <xf numFmtId="0" fontId="31" fillId="4" borderId="3" xfId="0" applyFont="1" applyFill="1" applyBorder="1" applyAlignment="1" applyProtection="1">
      <alignment horizontal="center"/>
    </xf>
    <xf numFmtId="0" fontId="25" fillId="4" borderId="3" xfId="0" applyFont="1" applyFill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0" fillId="8" borderId="4" xfId="0" applyFill="1" applyBorder="1" applyProtection="1"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19" fillId="0" borderId="6" xfId="0" applyFont="1" applyFill="1" applyBorder="1"/>
    <xf numFmtId="0" fontId="0" fillId="8" borderId="7" xfId="0" applyFill="1" applyBorder="1" applyProtection="1">
      <protection locked="0"/>
    </xf>
    <xf numFmtId="0" fontId="19" fillId="0" borderId="0" xfId="0" applyFont="1" applyFill="1" applyBorder="1"/>
    <xf numFmtId="0" fontId="0" fillId="8" borderId="8" xfId="0" applyFill="1" applyBorder="1" applyProtection="1"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32" fillId="0" borderId="5" xfId="0" applyNumberFormat="1" applyFont="1" applyBorder="1" applyAlignment="1" applyProtection="1">
      <alignment horizontal="center"/>
    </xf>
    <xf numFmtId="0" fontId="32" fillId="0" borderId="5" xfId="0" applyFont="1" applyBorder="1" applyAlignment="1" applyProtection="1">
      <alignment horizontal="center"/>
    </xf>
    <xf numFmtId="0" fontId="32" fillId="9" borderId="5" xfId="0" applyNumberFormat="1" applyFont="1" applyFill="1" applyBorder="1" applyAlignment="1" applyProtection="1">
      <alignment horizontal="center"/>
    </xf>
    <xf numFmtId="0" fontId="32" fillId="8" borderId="5" xfId="0" applyNumberFormat="1" applyFont="1" applyFill="1" applyBorder="1" applyAlignment="1" applyProtection="1">
      <alignment horizontal="center"/>
    </xf>
    <xf numFmtId="0" fontId="32" fillId="4" borderId="5" xfId="0" applyNumberFormat="1" applyFon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4" borderId="8" xfId="0" applyFill="1" applyBorder="1" applyProtection="1">
      <protection locked="0"/>
    </xf>
    <xf numFmtId="0" fontId="32" fillId="0" borderId="9" xfId="0" applyNumberFormat="1" applyFont="1" applyBorder="1" applyAlignment="1" applyProtection="1">
      <alignment horizontal="center"/>
    </xf>
    <xf numFmtId="0" fontId="32" fillId="0" borderId="9" xfId="0" applyFont="1" applyBorder="1" applyAlignment="1" applyProtection="1">
      <alignment horizontal="center"/>
    </xf>
    <xf numFmtId="0" fontId="32" fillId="9" borderId="9" xfId="0" applyNumberFormat="1" applyFont="1" applyFill="1" applyBorder="1" applyAlignment="1" applyProtection="1">
      <alignment horizontal="center"/>
    </xf>
    <xf numFmtId="0" fontId="32" fillId="8" borderId="9" xfId="0" applyNumberFormat="1" applyFont="1" applyFill="1" applyBorder="1" applyAlignment="1" applyProtection="1">
      <alignment horizontal="center"/>
    </xf>
    <xf numFmtId="0" fontId="32" fillId="4" borderId="9" xfId="0" applyNumberFormat="1" applyFont="1" applyFill="1" applyBorder="1" applyAlignment="1" applyProtection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8" xfId="0" applyBorder="1" applyProtection="1">
      <protection locked="0"/>
    </xf>
    <xf numFmtId="0" fontId="18" fillId="9" borderId="5" xfId="0" applyFont="1" applyFill="1" applyBorder="1" applyAlignment="1" applyProtection="1">
      <alignment horizontal="center"/>
      <protection locked="0"/>
    </xf>
    <xf numFmtId="0" fontId="0" fillId="9" borderId="6" xfId="0" applyFill="1" applyBorder="1"/>
    <xf numFmtId="0" fontId="14" fillId="10" borderId="0" xfId="0" applyFont="1" applyFill="1"/>
    <xf numFmtId="0" fontId="14" fillId="0" borderId="0" xfId="0" applyFont="1"/>
    <xf numFmtId="0" fontId="14" fillId="9" borderId="0" xfId="0" applyFont="1" applyFill="1"/>
    <xf numFmtId="0" fontId="2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2" fillId="0" borderId="0" xfId="0" applyFont="1"/>
    <xf numFmtId="0" fontId="13" fillId="2" borderId="0" xfId="0" applyFont="1" applyFill="1" applyAlignment="1">
      <alignment horizontal="left"/>
    </xf>
    <xf numFmtId="0" fontId="0" fillId="2" borderId="0" xfId="0" applyFont="1" applyFill="1" applyAlignment="1">
      <alignment horizontal="left"/>
    </xf>
    <xf numFmtId="0" fontId="25" fillId="2" borderId="0" xfId="0" applyFont="1" applyFill="1" applyAlignment="1">
      <alignment horizontal="left"/>
    </xf>
    <xf numFmtId="0" fontId="12" fillId="2" borderId="0" xfId="0" applyFont="1" applyFill="1" applyAlignment="1">
      <alignment horizontal="left"/>
    </xf>
    <xf numFmtId="0" fontId="32" fillId="9" borderId="2" xfId="0" applyNumberFormat="1" applyFont="1" applyFill="1" applyBorder="1" applyAlignment="1" applyProtection="1">
      <alignment horizontal="center"/>
    </xf>
    <xf numFmtId="0" fontId="0" fillId="9" borderId="3" xfId="0" applyFill="1" applyBorder="1" applyProtection="1"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12" borderId="0" xfId="0" applyFill="1"/>
    <xf numFmtId="0" fontId="18" fillId="12" borderId="0" xfId="0" applyFont="1" applyFill="1"/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 applyProtection="1">
      <alignment horizontal="center"/>
      <protection locked="0"/>
    </xf>
    <xf numFmtId="0" fontId="0" fillId="12" borderId="0" xfId="0" applyFill="1" applyBorder="1" applyAlignment="1" applyProtection="1">
      <alignment horizontal="center"/>
      <protection locked="0"/>
    </xf>
    <xf numFmtId="0" fontId="0" fillId="12" borderId="0" xfId="0" applyFill="1" applyAlignment="1"/>
    <xf numFmtId="0" fontId="11" fillId="12" borderId="0" xfId="0" applyFont="1" applyFill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Alignment="1"/>
    <xf numFmtId="0" fontId="10" fillId="2" borderId="0" xfId="0" applyFont="1" applyFill="1"/>
    <xf numFmtId="49" fontId="0" fillId="5" borderId="0" xfId="0" applyNumberFormat="1" applyFill="1"/>
    <xf numFmtId="0" fontId="9" fillId="11" borderId="0" xfId="0" applyFont="1" applyFill="1"/>
    <xf numFmtId="0" fontId="0" fillId="9" borderId="0" xfId="0" applyFill="1" applyBorder="1"/>
    <xf numFmtId="0" fontId="32" fillId="9" borderId="2" xfId="0" applyFont="1" applyFill="1" applyBorder="1" applyAlignment="1" applyProtection="1">
      <alignment horizontal="center"/>
    </xf>
    <xf numFmtId="0" fontId="8" fillId="10" borderId="0" xfId="0" applyFont="1" applyFill="1"/>
    <xf numFmtId="0" fontId="7" fillId="0" borderId="0" xfId="0" applyFont="1"/>
    <xf numFmtId="0" fontId="7" fillId="10" borderId="0" xfId="0" applyFont="1" applyFill="1"/>
    <xf numFmtId="0" fontId="7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6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Fill="1"/>
    <xf numFmtId="0" fontId="25" fillId="0" borderId="0" xfId="0" applyFont="1" applyBorder="1"/>
    <xf numFmtId="49" fontId="4" fillId="0" borderId="0" xfId="0" applyNumberFormat="1" applyFont="1" applyFill="1"/>
    <xf numFmtId="0" fontId="4" fillId="0" borderId="0" xfId="0" applyFont="1" applyBorder="1"/>
    <xf numFmtId="0" fontId="4" fillId="0" borderId="0" xfId="0" applyFont="1"/>
    <xf numFmtId="0" fontId="0" fillId="0" borderId="13" xfId="0" applyFill="1" applyBorder="1" applyProtection="1">
      <protection locked="0"/>
    </xf>
    <xf numFmtId="0" fontId="30" fillId="0" borderId="13" xfId="0" applyFont="1" applyFill="1" applyBorder="1" applyAlignment="1" applyProtection="1">
      <alignment horizontal="center"/>
    </xf>
    <xf numFmtId="0" fontId="0" fillId="9" borderId="13" xfId="0" applyFill="1" applyBorder="1" applyProtection="1">
      <protection locked="0"/>
    </xf>
    <xf numFmtId="0" fontId="30" fillId="9" borderId="13" xfId="0" applyFont="1" applyFill="1" applyBorder="1" applyAlignment="1" applyProtection="1">
      <alignment horizontal="center"/>
    </xf>
    <xf numFmtId="0" fontId="0" fillId="9" borderId="13" xfId="0" applyFill="1" applyBorder="1" applyAlignment="1" applyProtection="1">
      <alignment horizontal="center"/>
      <protection locked="0"/>
    </xf>
    <xf numFmtId="0" fontId="0" fillId="8" borderId="13" xfId="0" applyFill="1" applyBorder="1" applyProtection="1">
      <protection locked="0"/>
    </xf>
    <xf numFmtId="0" fontId="30" fillId="8" borderId="13" xfId="0" applyFont="1" applyFill="1" applyBorder="1" applyAlignment="1" applyProtection="1">
      <alignment horizontal="center"/>
    </xf>
    <xf numFmtId="0" fontId="0" fillId="8" borderId="13" xfId="0" applyFill="1" applyBorder="1" applyAlignment="1" applyProtection="1">
      <alignment horizontal="center"/>
      <protection locked="0"/>
    </xf>
    <xf numFmtId="0" fontId="0" fillId="4" borderId="13" xfId="0" applyFill="1" applyBorder="1" applyProtection="1">
      <protection locked="0"/>
    </xf>
    <xf numFmtId="0" fontId="30" fillId="4" borderId="13" xfId="0" applyFont="1" applyFill="1" applyBorder="1" applyAlignment="1" applyProtection="1">
      <alignment horizontal="center"/>
    </xf>
    <xf numFmtId="0" fontId="0" fillId="4" borderId="13" xfId="0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32" fillId="0" borderId="1" xfId="0" applyNumberFormat="1" applyFont="1" applyBorder="1" applyAlignment="1" applyProtection="1">
      <alignment horizontal="center"/>
    </xf>
    <xf numFmtId="0" fontId="32" fillId="0" borderId="1" xfId="0" applyFont="1" applyBorder="1" applyAlignment="1" applyProtection="1">
      <alignment horizontal="center"/>
    </xf>
    <xf numFmtId="0" fontId="0" fillId="9" borderId="1" xfId="0" applyFill="1" applyBorder="1" applyProtection="1">
      <protection locked="0"/>
    </xf>
    <xf numFmtId="0" fontId="32" fillId="9" borderId="1" xfId="0" applyNumberFormat="1" applyFont="1" applyFill="1" applyBorder="1" applyAlignment="1" applyProtection="1">
      <alignment horizontal="center"/>
    </xf>
    <xf numFmtId="0" fontId="0" fillId="9" borderId="1" xfId="0" applyFill="1" applyBorder="1" applyAlignment="1" applyProtection="1">
      <alignment horizontal="center"/>
      <protection locked="0"/>
    </xf>
    <xf numFmtId="0" fontId="0" fillId="8" borderId="1" xfId="0" applyFill="1" applyBorder="1" applyProtection="1">
      <protection locked="0"/>
    </xf>
    <xf numFmtId="0" fontId="32" fillId="8" borderId="1" xfId="0" applyNumberFormat="1" applyFont="1" applyFill="1" applyBorder="1" applyAlignment="1" applyProtection="1">
      <alignment horizontal="center"/>
    </xf>
    <xf numFmtId="0" fontId="0" fillId="8" borderId="1" xfId="0" applyFill="1" applyBorder="1" applyAlignment="1" applyProtection="1">
      <alignment horizontal="center"/>
      <protection locked="0"/>
    </xf>
    <xf numFmtId="0" fontId="0" fillId="4" borderId="1" xfId="0" applyFill="1" applyBorder="1" applyProtection="1">
      <protection locked="0"/>
    </xf>
    <xf numFmtId="0" fontId="32" fillId="4" borderId="1" xfId="0" applyNumberFormat="1" applyFont="1" applyFill="1" applyBorder="1" applyAlignment="1" applyProtection="1">
      <alignment horizontal="center"/>
    </xf>
    <xf numFmtId="0" fontId="18" fillId="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ill="1" applyBorder="1"/>
    <xf numFmtId="0" fontId="0" fillId="0" borderId="15" xfId="0" applyBorder="1" applyProtection="1">
      <protection locked="0"/>
    </xf>
    <xf numFmtId="0" fontId="32" fillId="0" borderId="16" xfId="0" applyNumberFormat="1" applyFont="1" applyBorder="1" applyAlignment="1" applyProtection="1">
      <alignment horizontal="center"/>
    </xf>
    <xf numFmtId="0" fontId="0" fillId="0" borderId="16" xfId="0" applyBorder="1" applyProtection="1">
      <protection locked="0"/>
    </xf>
    <xf numFmtId="0" fontId="32" fillId="0" borderId="16" xfId="0" applyFont="1" applyBorder="1" applyAlignment="1" applyProtection="1">
      <alignment horizontal="center"/>
    </xf>
    <xf numFmtId="0" fontId="0" fillId="9" borderId="16" xfId="0" applyFill="1" applyBorder="1" applyProtection="1">
      <protection locked="0"/>
    </xf>
    <xf numFmtId="0" fontId="32" fillId="9" borderId="16" xfId="0" applyNumberFormat="1" applyFont="1" applyFill="1" applyBorder="1" applyAlignment="1" applyProtection="1">
      <alignment horizontal="center"/>
    </xf>
    <xf numFmtId="0" fontId="0" fillId="9" borderId="16" xfId="0" applyFill="1" applyBorder="1" applyAlignment="1" applyProtection="1">
      <alignment horizontal="center"/>
      <protection locked="0"/>
    </xf>
    <xf numFmtId="0" fontId="0" fillId="8" borderId="16" xfId="0" applyFill="1" applyBorder="1" applyProtection="1">
      <protection locked="0"/>
    </xf>
    <xf numFmtId="0" fontId="32" fillId="8" borderId="16" xfId="0" applyNumberFormat="1" applyFont="1" applyFill="1" applyBorder="1" applyAlignment="1" applyProtection="1">
      <alignment horizontal="center"/>
    </xf>
    <xf numFmtId="0" fontId="0" fillId="8" borderId="16" xfId="0" applyFill="1" applyBorder="1" applyAlignment="1" applyProtection="1">
      <alignment horizontal="center"/>
      <protection locked="0"/>
    </xf>
    <xf numFmtId="0" fontId="0" fillId="4" borderId="16" xfId="0" applyFill="1" applyBorder="1" applyProtection="1">
      <protection locked="0"/>
    </xf>
    <xf numFmtId="0" fontId="32" fillId="4" borderId="16" xfId="0" applyNumberFormat="1" applyFont="1" applyFill="1" applyBorder="1" applyAlignment="1" applyProtection="1">
      <alignment horizontal="center"/>
    </xf>
    <xf numFmtId="0" fontId="18" fillId="4" borderId="16" xfId="0" applyFont="1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6" xfId="0" applyFill="1" applyBorder="1"/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32" fillId="0" borderId="19" xfId="0" applyNumberFormat="1" applyFont="1" applyBorder="1" applyAlignment="1" applyProtection="1">
      <alignment horizontal="center"/>
    </xf>
    <xf numFmtId="0" fontId="0" fillId="0" borderId="19" xfId="0" applyBorder="1" applyProtection="1">
      <protection locked="0"/>
    </xf>
    <xf numFmtId="0" fontId="32" fillId="0" borderId="19" xfId="0" applyFont="1" applyBorder="1" applyAlignment="1" applyProtection="1">
      <alignment horizontal="center"/>
    </xf>
    <xf numFmtId="0" fontId="0" fillId="9" borderId="19" xfId="0" applyFill="1" applyBorder="1" applyProtection="1">
      <protection locked="0"/>
    </xf>
    <xf numFmtId="0" fontId="32" fillId="9" borderId="19" xfId="0" applyNumberFormat="1" applyFont="1" applyFill="1" applyBorder="1" applyAlignment="1" applyProtection="1">
      <alignment horizontal="center"/>
    </xf>
    <xf numFmtId="0" fontId="0" fillId="9" borderId="19" xfId="0" applyFill="1" applyBorder="1" applyAlignment="1" applyProtection="1">
      <alignment horizontal="center"/>
      <protection locked="0"/>
    </xf>
    <xf numFmtId="0" fontId="0" fillId="8" borderId="19" xfId="0" applyFill="1" applyBorder="1" applyProtection="1">
      <protection locked="0"/>
    </xf>
    <xf numFmtId="0" fontId="32" fillId="8" borderId="19" xfId="0" applyNumberFormat="1" applyFont="1" applyFill="1" applyBorder="1" applyAlignment="1" applyProtection="1">
      <alignment horizontal="center"/>
    </xf>
    <xf numFmtId="0" fontId="0" fillId="8" borderId="19" xfId="0" applyFill="1" applyBorder="1" applyAlignment="1" applyProtection="1">
      <alignment horizontal="center"/>
      <protection locked="0"/>
    </xf>
    <xf numFmtId="0" fontId="0" fillId="4" borderId="19" xfId="0" applyFill="1" applyBorder="1" applyProtection="1">
      <protection locked="0"/>
    </xf>
    <xf numFmtId="0" fontId="32" fillId="4" borderId="19" xfId="0" applyNumberFormat="1" applyFont="1" applyFill="1" applyBorder="1" applyAlignment="1" applyProtection="1">
      <alignment horizontal="center"/>
    </xf>
    <xf numFmtId="0" fontId="18" fillId="4" borderId="19" xfId="0" applyFont="1" applyFill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Fill="1" applyBorder="1"/>
    <xf numFmtId="0" fontId="0" fillId="9" borderId="14" xfId="0" applyFill="1" applyBorder="1" applyProtection="1">
      <protection locked="0"/>
    </xf>
    <xf numFmtId="0" fontId="30" fillId="9" borderId="3" xfId="0" applyFont="1" applyFill="1" applyBorder="1" applyAlignment="1" applyProtection="1">
      <alignment horizontal="center"/>
    </xf>
    <xf numFmtId="0" fontId="18" fillId="9" borderId="3" xfId="0" applyFont="1" applyFill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32" fillId="0" borderId="21" xfId="0" applyNumberFormat="1" applyFont="1" applyBorder="1" applyAlignment="1" applyProtection="1">
      <alignment horizontal="center"/>
    </xf>
    <xf numFmtId="0" fontId="0" fillId="0" borderId="21" xfId="0" applyBorder="1" applyProtection="1">
      <protection locked="0"/>
    </xf>
    <xf numFmtId="0" fontId="32" fillId="0" borderId="21" xfId="0" applyFont="1" applyBorder="1" applyAlignment="1" applyProtection="1">
      <alignment horizontal="center"/>
    </xf>
    <xf numFmtId="0" fontId="0" fillId="9" borderId="21" xfId="0" applyFill="1" applyBorder="1" applyProtection="1">
      <protection locked="0"/>
    </xf>
    <xf numFmtId="0" fontId="32" fillId="9" borderId="21" xfId="0" applyNumberFormat="1" applyFont="1" applyFill="1" applyBorder="1" applyAlignment="1" applyProtection="1">
      <alignment horizontal="center"/>
    </xf>
    <xf numFmtId="0" fontId="0" fillId="9" borderId="21" xfId="0" applyFill="1" applyBorder="1" applyAlignment="1" applyProtection="1">
      <alignment horizontal="center"/>
      <protection locked="0"/>
    </xf>
    <xf numFmtId="0" fontId="0" fillId="8" borderId="21" xfId="0" applyFill="1" applyBorder="1" applyProtection="1">
      <protection locked="0"/>
    </xf>
    <xf numFmtId="0" fontId="32" fillId="8" borderId="21" xfId="0" applyNumberFormat="1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32" fillId="4" borderId="21" xfId="0" applyNumberFormat="1" applyFont="1" applyFill="1" applyBorder="1" applyAlignment="1" applyProtection="1">
      <alignment horizontal="center"/>
    </xf>
    <xf numFmtId="0" fontId="18" fillId="4" borderId="21" xfId="0" applyFont="1" applyFill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1" xfId="0" applyFill="1" applyBorder="1"/>
    <xf numFmtId="0" fontId="3" fillId="10" borderId="0" xfId="0" applyFont="1" applyFill="1"/>
    <xf numFmtId="0" fontId="2" fillId="11" borderId="0" xfId="0" applyFont="1" applyFill="1"/>
    <xf numFmtId="0" fontId="1" fillId="11" borderId="0" xfId="0" applyFont="1" applyFill="1"/>
    <xf numFmtId="0" fontId="0" fillId="11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25" fillId="13" borderId="0" xfId="0" applyFont="1" applyFill="1"/>
    <xf numFmtId="0" fontId="7" fillId="13" borderId="0" xfId="0" applyFont="1" applyFill="1"/>
    <xf numFmtId="0" fontId="0" fillId="9" borderId="0" xfId="0" applyFill="1" applyAlignment="1">
      <alignment horizontal="center"/>
    </xf>
    <xf numFmtId="0" fontId="7" fillId="9" borderId="0" xfId="0" applyFont="1" applyFill="1"/>
    <xf numFmtId="0" fontId="0" fillId="14" borderId="0" xfId="0" applyFill="1" applyAlignment="1">
      <alignment horizontal="center"/>
    </xf>
    <xf numFmtId="0" fontId="0" fillId="14" borderId="0" xfId="0" applyFill="1"/>
    <xf numFmtId="0" fontId="0" fillId="5" borderId="0" xfId="0" applyFill="1" applyAlignment="1">
      <alignment horizontal="center"/>
    </xf>
    <xf numFmtId="0" fontId="7" fillId="5" borderId="0" xfId="0" applyFont="1" applyFill="1"/>
    <xf numFmtId="0" fontId="25" fillId="0" borderId="0" xfId="0" applyFont="1" applyAlignment="1">
      <alignment vertical="center"/>
    </xf>
    <xf numFmtId="0" fontId="25" fillId="0" borderId="2" xfId="0" applyFont="1" applyBorder="1" applyAlignment="1" applyProtection="1">
      <protection locked="0"/>
    </xf>
    <xf numFmtId="0" fontId="25" fillId="0" borderId="0" xfId="0" applyFont="1" applyBorder="1" applyAlignment="1" applyProtection="1">
      <protection locked="0"/>
    </xf>
    <xf numFmtId="0" fontId="33" fillId="0" borderId="0" xfId="0" applyFont="1" applyAlignment="1"/>
    <xf numFmtId="0" fontId="25" fillId="0" borderId="22" xfId="0" applyFont="1" applyBorder="1" applyProtection="1">
      <protection locked="0"/>
    </xf>
    <xf numFmtId="0" fontId="31" fillId="0" borderId="22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62"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0" hidden="0"/>
    </dxf>
    <dxf>
      <border outline="0">
        <bottom style="thin">
          <color rgb="FFBFBFBF"/>
        </bottom>
      </border>
    </dxf>
    <dxf>
      <protection locked="0" hidden="0"/>
    </dxf>
    <dxf>
      <font>
        <b/>
        <family val="2"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border outline="0">
        <bottom style="thin">
          <color rgb="FFBFBFBF"/>
        </bottom>
      </border>
    </dxf>
    <dxf>
      <protection locked="0" hidden="0"/>
    </dxf>
    <dxf>
      <font>
        <b/>
        <family val="2"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font>
        <color theme="0" tint="-0.34998626667073579"/>
        <family val="2"/>
      </font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1" hidden="0"/>
    </dxf>
    <dxf>
      <font>
        <color theme="0" tint="-0.34998626667073579"/>
        <family val="2"/>
      </font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0" hidden="0"/>
    </dxf>
    <dxf>
      <numFmt numFmtId="0" formatCode="General"/>
      <protection locked="0" hidden="0"/>
    </dxf>
    <dxf>
      <protection locked="0" hidden="0"/>
    </dxf>
    <dxf>
      <border outline="0">
        <bottom style="thin">
          <color rgb="FFBFBFBF"/>
        </bottom>
      </border>
    </dxf>
    <dxf>
      <protection locked="0" hidden="0"/>
    </dxf>
    <dxf>
      <font>
        <b/>
        <family val="2"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border outline="0">
        <bottom style="thin">
          <color theme="0" tint="-0.249977111117893"/>
        </bottom>
      </border>
    </dxf>
    <dxf>
      <protection locked="0" hidden="0"/>
    </dxf>
    <dxf>
      <font>
        <b/>
        <family val="2"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133350</xdr:rowOff>
        </xdr:from>
        <xdr:to>
          <xdr:col>0</xdr:col>
          <xdr:colOff>1724025</xdr:colOff>
          <xdr:row>14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583267-8491-4DAB-B321-0BB998D14468}" name="Table1" displayName="Table1" ref="A1:N33" totalsRowShown="0" headerRowDxfId="46" dataDxfId="45" tableBorderDxfId="44">
  <autoFilter ref="A1:N33" xr:uid="{03DBE080-C3CB-40E1-8AD2-7FC122DD51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6C2A3A75-3021-4A6F-B445-92FB1B6BC02F}" name="outputName" dataDxfId="43"/>
    <tableColumn id="2" xr3:uid="{426F231B-2707-486C-8F7D-4EDB45CD6625}" name="outputId" dataDxfId="42">
      <calculatedColumnFormula>_xlfn.IFNA(INDEX(AllItems!$A$2:$A$1014,MATCH(A2,AllItems!$B$2:$B$1014,0)), 0)</calculatedColumnFormula>
    </tableColumn>
    <tableColumn id="3" xr3:uid="{326697B1-91BF-4FB8-B3E0-2B17E9C9BA93}" name="sourceName" dataDxfId="41"/>
    <tableColumn id="4" xr3:uid="{BCC49EC8-CCBC-44A0-96BE-318EF0CF3105}" name="sourceId" dataDxfId="40">
      <calculatedColumnFormula>_xlfn.IFNA(INDEX(Source!$A$2:$A$986,MATCH(C2,Source!$B$2:$B$986,0)),"")</calculatedColumnFormula>
    </tableColumn>
    <tableColumn id="5" xr3:uid="{E8555A3F-F0A6-4384-A997-CDB187A11608}" name="reqName1" dataDxfId="39"/>
    <tableColumn id="6" xr3:uid="{0B87A33F-F622-4594-9515-0451E1705431}" name="reqId1" dataDxfId="38">
      <calculatedColumnFormula>_xlfn.IFNA( INDEX(AllItems!$A$2:$A$1014,MATCH(E2,AllItems!$B$2:$B$1014,0)), 0)</calculatedColumnFormula>
    </tableColumn>
    <tableColumn id="7" xr3:uid="{0EA14937-E10C-4C41-AE14-854B033A7669}" name="reqCount1" dataDxfId="37"/>
    <tableColumn id="8" xr3:uid="{2F09AF37-F8EF-4427-8487-8754BEEF4B4F}" name="reqName2" dataDxfId="36"/>
    <tableColumn id="9" xr3:uid="{D29526D5-44E7-409D-B123-EE3B261875AC}" name="reqId2" dataDxfId="35">
      <calculatedColumnFormula>_xlfn.IFNA( INDEX(AllItems!$A$2:$A$1014,MATCH(H2,AllItems!$B$2:$B$1014,0)), 0)</calculatedColumnFormula>
    </tableColumn>
    <tableColumn id="10" xr3:uid="{8CB8E3FF-4FDE-4300-A1BA-F9B23BC5FAF9}" name="reqCount2" dataDxfId="34"/>
    <tableColumn id="11" xr3:uid="{1DADA165-0607-4D0C-A126-F067417C601B}" name="reqName3" dataDxfId="33"/>
    <tableColumn id="12" xr3:uid="{186281D8-0D96-4A13-A890-17D061F51E0D}" name="reqId3" dataDxfId="32">
      <calculatedColumnFormula>_xlfn.IFNA( INDEX(AllItems!$A$2:$A$1014,MATCH(K2,AllItems!$B$2:$B$1014,0)), 0)</calculatedColumnFormula>
    </tableColumn>
    <tableColumn id="13" xr3:uid="{163B1A4C-901C-4B6C-B9AA-E041839F0957}" name="reqCount3" dataDxfId="31"/>
    <tableColumn id="16" xr3:uid="{22B346F8-8C7B-4941-8CA4-14BCEEDD80CF}" name="coinCost:HarvertTimes" dataDxfId="3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D0BCCE-55F1-42FD-91FB-0E9C6EC5DF37}" name="Table145" displayName="Table145" ref="A1:E3" totalsRowShown="0" headerRowDxfId="29" dataDxfId="28" tableBorderDxfId="27">
  <autoFilter ref="A1:E3" xr:uid="{03DBE080-C3CB-40E1-8AD2-7FC122DD511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3" xr3:uid="{D82D23FF-DB28-4B64-8BE8-365086339F9B}" name="sourceName" dataDxfId="26"/>
    <tableColumn id="4" xr3:uid="{4F9A7A89-308B-45AF-8471-A51420027C1E}" name="sourceId" dataDxfId="25">
      <calculatedColumnFormula>_xlfn.IFNA(INDEX(Source!$A$2:$A$986,MATCH(A2,Source!$B$2:$B$986,0)),"")</calculatedColumnFormula>
    </tableColumn>
    <tableColumn id="1" xr3:uid="{0C930625-C882-4DE9-9114-A61344DCCDEA}" name="outputName" dataDxfId="24"/>
    <tableColumn id="2" xr3:uid="{E1F30E03-294C-40FD-A504-483CAD5B0100}" name="outputId" dataDxfId="23">
      <calculatedColumnFormula>_xlfn.IFNA(INDEX(AllItems!$A$2:$A$1014,MATCH(C2,AllItems!$B$2:$B$1014,0)), 0)</calculatedColumnFormula>
    </tableColumn>
    <tableColumn id="16" xr3:uid="{95147EC6-24F0-498C-823A-939DAEB3B095}" name="coinCost" dataDxfId="2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A0C6F0-1903-47B0-8B20-2344EBA0DBAC}" name="Table14" displayName="Table14" ref="A1:C12" totalsRowShown="0" headerRowDxfId="21" dataDxfId="20" tableBorderDxfId="19">
  <autoFilter ref="A1:C12" xr:uid="{03DBE080-C3CB-40E1-8AD2-7FC122DD511F}">
    <filterColumn colId="0" hiddenButton="1"/>
    <filterColumn colId="1" hiddenButton="1"/>
    <filterColumn colId="2" hiddenButton="1"/>
  </autoFilter>
  <tableColumns count="3">
    <tableColumn id="1" xr3:uid="{3972FE07-D31D-4F11-8127-5B016E4DA9C0}" name="outputName" dataDxfId="18"/>
    <tableColumn id="2" xr3:uid="{B3DA4C12-D4A5-4DFA-A94C-8D811688DC8B}" name="outputId" dataDxfId="17">
      <calculatedColumnFormula>_xlfn.IFNA(INDEX(AllItems!$A$2:$A$1014,MATCH(A2,AllItems!$B$2:$B$1014,0)), 0)</calculatedColumnFormula>
    </tableColumn>
    <tableColumn id="16" xr3:uid="{A125C676-1B01-4D0E-A9CE-F9CF312FFC79}" name="coinCost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B12337-69AC-4658-B8C4-09AB7CA8C435}" name="Table13" displayName="Table13" ref="A1:M3" totalsRowShown="0" headerRowDxfId="15" dataDxfId="14" tableBorderDxfId="13">
  <autoFilter ref="A1:M3" xr:uid="{03DBE080-C3CB-40E1-8AD2-7FC122DD51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3" xr3:uid="{5BB9B993-FDCC-4014-AC70-5C397C943920}" name="sourceName" dataDxfId="12"/>
    <tableColumn id="4" xr3:uid="{32750B54-3686-47BE-84DB-CE30A95D47FC}" name="sourceId" dataDxfId="11">
      <calculatedColumnFormula>_xlfn.IFNA(INDEX(Source!$A$2:$A$986,MATCH(A2,Source!$B$2:$B$986,0)),"")</calculatedColumnFormula>
    </tableColumn>
    <tableColumn id="1" xr3:uid="{158F8E4A-40B3-47E8-9290-D7FA8F93E4D1}" name="outputName" dataDxfId="10"/>
    <tableColumn id="2" xr3:uid="{177C32A8-DB46-471F-A86D-E45E29A0EEA7}" name="outputId" dataDxfId="9">
      <calculatedColumnFormula>_xlfn.IFNA(INDEX(AllItems!$A$2:$A$1014,MATCH(C2,AllItems!$B$2:$B$1014,0)), 0)</calculatedColumnFormula>
    </tableColumn>
    <tableColumn id="5" xr3:uid="{F2A26F2B-DA3C-4869-A2BB-DD2009EB5296}" name="feedName1" dataDxfId="8"/>
    <tableColumn id="6" xr3:uid="{33081087-504C-48D5-AD12-AE721F00FAD8}" name="feedId1" dataDxfId="7">
      <calculatedColumnFormula>_xlfn.IFNA( INDEX(AllItems!$A$2:$A$1014,MATCH(E2,AllItems!$B$2:$B$1014,0)), 0)</calculatedColumnFormula>
    </tableColumn>
    <tableColumn id="7" xr3:uid="{8CEEF1DC-35DE-42E3-ADE7-A7327C0B1B82}" name="feedCount1" dataDxfId="6"/>
    <tableColumn id="8" xr3:uid="{84A447FD-080E-4029-A38F-305ECA64B4C2}" name="feedName2" dataDxfId="5"/>
    <tableColumn id="9" xr3:uid="{796E4471-A6FA-497A-8381-710F6C03B3D6}" name="feedId2" dataDxfId="4">
      <calculatedColumnFormula>_xlfn.IFNA( INDEX(AllItems!$A$2:$A$1014,MATCH(H2,AllItems!$B$2:$B$1014,0)), 0)</calculatedColumnFormula>
    </tableColumn>
    <tableColumn id="10" xr3:uid="{9CDCB9F3-222C-4E3C-B1A0-D06801E13A04}" name="feedCount2" dataDxfId="3"/>
    <tableColumn id="11" xr3:uid="{67688A28-37B9-4CA9-8419-56BC4FB67FBA}" name="feedName3" dataDxfId="2"/>
    <tableColumn id="12" xr3:uid="{C8752AA9-58BE-43BB-8846-23488F1941CB}" name="feedId3" dataDxfId="1">
      <calculatedColumnFormula>_xlfn.IFNA( INDEX(AllItems!$A$2:$A$1014,MATCH(K2,AllItems!$B$2:$B$1014,0)), 0)</calculatedColumnFormula>
    </tableColumn>
    <tableColumn id="13" xr3:uid="{4DFFD1E5-0A6A-45D0-8B4D-CA0934B7F4F0}" name="feedCos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O55"/>
  <sheetViews>
    <sheetView zoomScaleNormal="100" workbookViewId="0">
      <selection activeCell="I15" sqref="I15"/>
    </sheetView>
  </sheetViews>
  <sheetFormatPr defaultColWidth="9.140625" defaultRowHeight="15"/>
  <cols>
    <col min="1" max="1" width="26.5703125" style="2" customWidth="1"/>
    <col min="2" max="2" width="48.42578125" style="2" customWidth="1"/>
    <col min="3" max="3" width="22.7109375" style="2" customWidth="1"/>
    <col min="4" max="4" width="5" style="2" customWidth="1"/>
    <col min="5" max="5" width="6.85546875" style="2" bestFit="1" customWidth="1"/>
    <col min="6" max="6" width="9.7109375" style="3" customWidth="1"/>
    <col min="7" max="7" width="7.42578125" style="2" customWidth="1"/>
    <col min="8" max="8" width="7.42578125" style="2" bestFit="1" customWidth="1"/>
    <col min="9" max="9" width="9.140625" style="4"/>
    <col min="10" max="10" width="24.85546875" style="4" customWidth="1"/>
    <col min="11" max="11" width="19.85546875" style="4" customWidth="1"/>
    <col min="12" max="12" width="24" style="2" customWidth="1"/>
    <col min="13" max="40" width="9.140625" style="4"/>
    <col min="41" max="41" width="57.28515625" style="4" customWidth="1"/>
    <col min="42" max="16384" width="9.140625" style="4"/>
  </cols>
  <sheetData>
    <row r="1" spans="1:41">
      <c r="A1" s="5" t="s">
        <v>27</v>
      </c>
      <c r="B1" s="53" t="s">
        <v>315</v>
      </c>
      <c r="C1" s="6" t="s">
        <v>28</v>
      </c>
      <c r="D1" s="6"/>
      <c r="E1" s="6"/>
      <c r="F1" s="7"/>
      <c r="G1" s="6"/>
      <c r="H1" s="6"/>
      <c r="I1" s="16"/>
      <c r="J1" s="209" t="s">
        <v>251</v>
      </c>
      <c r="K1" s="211" t="s">
        <v>252</v>
      </c>
      <c r="L1" s="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29</v>
      </c>
    </row>
    <row r="2" spans="1:41">
      <c r="D2" s="5" t="s">
        <v>30</v>
      </c>
      <c r="E2" s="8" t="s">
        <v>31</v>
      </c>
      <c r="F2" s="9" t="s">
        <v>32</v>
      </c>
      <c r="G2" s="5" t="s">
        <v>33</v>
      </c>
      <c r="I2" s="17"/>
      <c r="J2" s="208" t="s">
        <v>265</v>
      </c>
      <c r="K2" s="212" t="s">
        <v>266</v>
      </c>
      <c r="L2" s="48"/>
      <c r="M2" s="47"/>
      <c r="N2" s="47"/>
      <c r="O2" s="40"/>
      <c r="AN2" s="22"/>
      <c r="AO2" s="2" t="s">
        <v>34</v>
      </c>
    </row>
    <row r="3" spans="1:41">
      <c r="A3" s="43" t="s">
        <v>77</v>
      </c>
      <c r="B3" s="44" t="s">
        <v>138</v>
      </c>
      <c r="C3" s="2" t="s">
        <v>153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35</v>
      </c>
      <c r="I3" s="17"/>
      <c r="J3" s="210" t="s">
        <v>263</v>
      </c>
      <c r="K3" s="210" t="s">
        <v>267</v>
      </c>
      <c r="L3" s="49"/>
      <c r="M3" s="18"/>
      <c r="N3" s="18"/>
    </row>
    <row r="4" spans="1:41">
      <c r="A4" s="10" t="s">
        <v>36</v>
      </c>
      <c r="B4" s="2" t="s">
        <v>6</v>
      </c>
      <c r="C4" s="2">
        <v>1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/>
      <c r="J4" s="210" t="s">
        <v>264</v>
      </c>
      <c r="K4" s="19"/>
      <c r="L4" s="49"/>
      <c r="M4" s="18"/>
      <c r="N4" s="18"/>
    </row>
    <row r="5" spans="1:41">
      <c r="A5" s="10" t="s">
        <v>15</v>
      </c>
      <c r="B5" s="2" t="s">
        <v>7</v>
      </c>
      <c r="C5" s="2">
        <v>2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/>
      <c r="J5" s="45"/>
      <c r="K5" s="19"/>
      <c r="L5" s="49"/>
      <c r="M5" s="18"/>
      <c r="N5" s="18"/>
    </row>
    <row r="6" spans="1:41">
      <c r="A6" s="10" t="s">
        <v>21</v>
      </c>
      <c r="B6" s="2" t="s">
        <v>39</v>
      </c>
      <c r="C6" s="2">
        <v>3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/>
      <c r="J6" s="45"/>
      <c r="K6" s="19"/>
      <c r="L6" s="49"/>
      <c r="M6" s="18"/>
      <c r="N6" s="18"/>
    </row>
    <row r="7" spans="1:41">
      <c r="A7" s="10" t="s">
        <v>38</v>
      </c>
      <c r="B7" s="2" t="s">
        <v>47</v>
      </c>
      <c r="C7" s="2">
        <v>4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/>
      <c r="J7" s="45"/>
      <c r="K7" s="19"/>
      <c r="L7" s="27"/>
      <c r="M7" s="18"/>
      <c r="N7" s="18"/>
    </row>
    <row r="8" spans="1:41" s="1" customFormat="1">
      <c r="A8" s="14" t="s">
        <v>40</v>
      </c>
      <c r="B8" s="2" t="s">
        <v>152</v>
      </c>
      <c r="C8" s="2">
        <v>5</v>
      </c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/>
      <c r="J8" s="19"/>
      <c r="K8" s="19"/>
      <c r="L8" s="27"/>
      <c r="M8" s="18"/>
      <c r="N8" s="18"/>
    </row>
    <row r="9" spans="1:41">
      <c r="A9" s="2" t="s">
        <v>41</v>
      </c>
      <c r="B9" s="2" t="s">
        <v>314</v>
      </c>
      <c r="C9" s="2">
        <v>6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/>
      <c r="J9" s="19"/>
      <c r="K9" s="19"/>
      <c r="L9" s="27"/>
      <c r="M9" s="18"/>
      <c r="N9" s="18"/>
    </row>
    <row r="10" spans="1:41">
      <c r="A10" s="2" t="s">
        <v>42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/>
      <c r="J10" s="19" t="s">
        <v>89</v>
      </c>
      <c r="K10" s="51" t="s">
        <v>88</v>
      </c>
      <c r="L10" s="27"/>
      <c r="M10" s="18"/>
      <c r="N10" s="18"/>
    </row>
    <row r="11" spans="1:41">
      <c r="A11" s="2" t="s">
        <v>44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/>
      <c r="J11" s="19" t="s">
        <v>90</v>
      </c>
      <c r="K11" s="51" t="s">
        <v>91</v>
      </c>
      <c r="L11" s="27"/>
      <c r="M11" s="18"/>
      <c r="N11" s="18"/>
    </row>
    <row r="12" spans="1:41">
      <c r="A12" s="2" t="s">
        <v>45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/>
      <c r="J12" s="19"/>
      <c r="K12" s="19"/>
      <c r="L12" s="27"/>
      <c r="M12" s="18"/>
      <c r="N12" s="18"/>
    </row>
    <row r="13" spans="1:41">
      <c r="A13" s="10" t="s">
        <v>46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/>
      <c r="J13" s="19"/>
      <c r="K13" s="19"/>
      <c r="L13" s="27"/>
      <c r="M13" s="18"/>
      <c r="N13" s="18"/>
    </row>
    <row r="14" spans="1:41">
      <c r="A14" s="10" t="s">
        <v>18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/>
      <c r="J14" s="19"/>
      <c r="K14" s="19"/>
      <c r="L14" s="27"/>
      <c r="M14" s="18"/>
      <c r="N14" s="18"/>
    </row>
    <row r="15" spans="1:41">
      <c r="A15" s="10" t="s">
        <v>17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  <c r="L15" s="2">
        <v>6</v>
      </c>
      <c r="M15" s="4">
        <v>0</v>
      </c>
    </row>
    <row r="16" spans="1:41">
      <c r="A16" s="10" t="s">
        <v>64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  <c r="L16" s="4">
        <f>$L$15*M15</f>
        <v>0</v>
      </c>
      <c r="M16" s="4">
        <v>1</v>
      </c>
    </row>
    <row r="17" spans="1:13">
      <c r="A17" s="10" t="s">
        <v>47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  <c r="L17" s="4">
        <f t="shared" ref="L17:L23" si="2">$L$15*M16</f>
        <v>6</v>
      </c>
      <c r="M17" s="4">
        <v>2</v>
      </c>
    </row>
    <row r="18" spans="1:13">
      <c r="A18" s="10" t="s">
        <v>48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  <c r="L18" s="4">
        <f t="shared" si="2"/>
        <v>12</v>
      </c>
      <c r="M18" s="4">
        <v>3</v>
      </c>
    </row>
    <row r="19" spans="1:13">
      <c r="A19" s="2" t="s">
        <v>14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  <c r="L19" s="4">
        <f t="shared" si="2"/>
        <v>18</v>
      </c>
      <c r="M19" s="4">
        <v>4</v>
      </c>
    </row>
    <row r="20" spans="1:13">
      <c r="A20" s="10" t="s">
        <v>49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  <c r="L20" s="4">
        <f t="shared" si="2"/>
        <v>24</v>
      </c>
      <c r="M20" s="4">
        <v>5</v>
      </c>
    </row>
    <row r="21" spans="1:13">
      <c r="A21" s="10" t="s">
        <v>50</v>
      </c>
      <c r="B21" s="2" t="s">
        <v>315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  <c r="L21" s="4">
        <f t="shared" si="2"/>
        <v>30</v>
      </c>
      <c r="M21" s="4">
        <v>6</v>
      </c>
    </row>
    <row r="22" spans="1:13">
      <c r="A22" s="10" t="s">
        <v>51</v>
      </c>
      <c r="B22" s="2" t="s">
        <v>315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  <c r="L22" s="4">
        <f t="shared" si="2"/>
        <v>36</v>
      </c>
      <c r="M22" s="4">
        <v>7</v>
      </c>
    </row>
    <row r="23" spans="1:13">
      <c r="A23" s="10" t="s">
        <v>52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  <c r="L23" s="4">
        <f t="shared" si="2"/>
        <v>42</v>
      </c>
      <c r="M23" s="4">
        <v>8</v>
      </c>
    </row>
    <row r="24" spans="1:13">
      <c r="A24" s="10" t="s">
        <v>53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  <c r="L24" s="4"/>
    </row>
    <row r="25" spans="1:13">
      <c r="A25" s="10" t="s">
        <v>23</v>
      </c>
      <c r="B25" s="178" t="s">
        <v>139</v>
      </c>
      <c r="C25" s="178" t="s">
        <v>148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  <c r="L25" s="4"/>
    </row>
    <row r="26" spans="1:13">
      <c r="A26" s="10" t="s">
        <v>54</v>
      </c>
      <c r="B26" s="176" t="s">
        <v>62</v>
      </c>
      <c r="C26" s="179">
        <v>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  <c r="L26" s="4"/>
    </row>
    <row r="27" spans="1:13">
      <c r="A27" s="10" t="s">
        <v>62</v>
      </c>
      <c r="B27" s="176" t="s">
        <v>140</v>
      </c>
      <c r="C27" s="179">
        <v>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  <c r="L27" s="4"/>
    </row>
    <row r="28" spans="1:13">
      <c r="A28" s="10" t="s">
        <v>55</v>
      </c>
      <c r="B28" s="176" t="s">
        <v>141</v>
      </c>
      <c r="C28" s="177">
        <v>2</v>
      </c>
      <c r="E28" s="8">
        <v>26</v>
      </c>
      <c r="F28" s="9">
        <f t="shared" ref="F28:F41" si="3">E28^$D$3</f>
        <v>17576</v>
      </c>
      <c r="G28" s="11">
        <f t="shared" ref="G28:G41" si="4">ROUNDUP(F28,-1)</f>
        <v>17580</v>
      </c>
      <c r="H28" s="13">
        <v>13701</v>
      </c>
      <c r="K28" s="20"/>
      <c r="L28" s="4"/>
    </row>
    <row r="29" spans="1:13">
      <c r="A29" s="10" t="s">
        <v>22</v>
      </c>
      <c r="B29" s="176" t="s">
        <v>142</v>
      </c>
      <c r="C29" s="177">
        <v>3</v>
      </c>
      <c r="E29" s="8">
        <v>27</v>
      </c>
      <c r="F29" s="9">
        <f t="shared" si="3"/>
        <v>19683</v>
      </c>
      <c r="G29" s="11">
        <f t="shared" si="4"/>
        <v>19690</v>
      </c>
      <c r="H29" s="13">
        <v>13702</v>
      </c>
      <c r="K29" s="20"/>
    </row>
    <row r="30" spans="1:13">
      <c r="A30" s="10" t="s">
        <v>56</v>
      </c>
      <c r="E30" s="8">
        <v>28</v>
      </c>
      <c r="F30" s="9">
        <f t="shared" si="3"/>
        <v>21952</v>
      </c>
      <c r="G30" s="11">
        <f t="shared" si="4"/>
        <v>21960</v>
      </c>
      <c r="H30" s="13">
        <v>13703</v>
      </c>
      <c r="K30" s="20"/>
    </row>
    <row r="31" spans="1:13">
      <c r="A31" s="10" t="s">
        <v>20</v>
      </c>
      <c r="E31" s="8">
        <v>29</v>
      </c>
      <c r="F31" s="9">
        <f t="shared" si="3"/>
        <v>24389</v>
      </c>
      <c r="G31" s="11">
        <f t="shared" si="4"/>
        <v>24390</v>
      </c>
      <c r="H31" s="13">
        <v>13704</v>
      </c>
      <c r="K31" s="20"/>
    </row>
    <row r="32" spans="1:13">
      <c r="A32" s="10" t="s">
        <v>57</v>
      </c>
      <c r="E32" s="8">
        <v>30</v>
      </c>
      <c r="F32" s="9">
        <f t="shared" si="3"/>
        <v>27000</v>
      </c>
      <c r="G32" s="11">
        <f t="shared" si="4"/>
        <v>27000</v>
      </c>
      <c r="H32" s="13">
        <v>13705</v>
      </c>
      <c r="K32" s="20"/>
    </row>
    <row r="33" spans="1:11">
      <c r="A33" s="10" t="s">
        <v>58</v>
      </c>
      <c r="E33" s="8">
        <v>31</v>
      </c>
      <c r="F33" s="9">
        <f t="shared" si="3"/>
        <v>29791</v>
      </c>
      <c r="G33" s="11">
        <f t="shared" si="4"/>
        <v>29800</v>
      </c>
      <c r="H33" s="13">
        <v>13706</v>
      </c>
      <c r="K33" s="20"/>
    </row>
    <row r="34" spans="1:11">
      <c r="A34" s="10" t="s">
        <v>59</v>
      </c>
      <c r="E34" s="8">
        <v>32</v>
      </c>
      <c r="F34" s="9">
        <f t="shared" si="3"/>
        <v>32768</v>
      </c>
      <c r="G34" s="11">
        <f t="shared" si="4"/>
        <v>32770</v>
      </c>
      <c r="H34" s="13">
        <v>13707</v>
      </c>
      <c r="K34" s="20"/>
    </row>
    <row r="35" spans="1:11">
      <c r="A35" s="10" t="s">
        <v>60</v>
      </c>
      <c r="E35" s="8">
        <v>33</v>
      </c>
      <c r="F35" s="9">
        <f t="shared" si="3"/>
        <v>35937</v>
      </c>
      <c r="G35" s="11">
        <f t="shared" si="4"/>
        <v>35940</v>
      </c>
      <c r="H35" s="13">
        <v>13708</v>
      </c>
      <c r="K35" s="20"/>
    </row>
    <row r="36" spans="1:11">
      <c r="A36" s="10" t="s">
        <v>19</v>
      </c>
      <c r="E36" s="8">
        <v>34</v>
      </c>
      <c r="F36" s="9">
        <f t="shared" si="3"/>
        <v>39304</v>
      </c>
      <c r="G36" s="11">
        <f t="shared" si="4"/>
        <v>39310</v>
      </c>
      <c r="H36" s="13">
        <v>13709</v>
      </c>
    </row>
    <row r="37" spans="1:11">
      <c r="A37" s="10"/>
      <c r="E37" s="8">
        <v>35</v>
      </c>
      <c r="F37" s="9">
        <f t="shared" si="3"/>
        <v>42875</v>
      </c>
      <c r="G37" s="11">
        <f t="shared" si="4"/>
        <v>42880</v>
      </c>
      <c r="H37" s="13">
        <v>13710</v>
      </c>
    </row>
    <row r="38" spans="1:11">
      <c r="A38" s="10"/>
      <c r="E38" s="8">
        <v>36</v>
      </c>
      <c r="F38" s="9">
        <f t="shared" si="3"/>
        <v>46656</v>
      </c>
      <c r="G38" s="11">
        <f t="shared" si="4"/>
        <v>46660</v>
      </c>
      <c r="H38" s="13">
        <v>13711</v>
      </c>
    </row>
    <row r="39" spans="1:11">
      <c r="A39" s="10"/>
      <c r="E39" s="8">
        <v>37</v>
      </c>
      <c r="F39" s="9">
        <f t="shared" si="3"/>
        <v>50653</v>
      </c>
      <c r="G39" s="11">
        <f t="shared" si="4"/>
        <v>50660</v>
      </c>
      <c r="H39" s="13">
        <v>13712</v>
      </c>
    </row>
    <row r="40" spans="1:11">
      <c r="A40" s="10"/>
      <c r="E40" s="8">
        <v>38</v>
      </c>
      <c r="F40" s="9">
        <f t="shared" si="3"/>
        <v>54872</v>
      </c>
      <c r="G40" s="11">
        <f t="shared" si="4"/>
        <v>54880</v>
      </c>
      <c r="H40" s="13">
        <v>13713</v>
      </c>
    </row>
    <row r="41" spans="1:11">
      <c r="E41" s="8">
        <v>39</v>
      </c>
      <c r="F41" s="9">
        <f t="shared" si="3"/>
        <v>59319</v>
      </c>
      <c r="G41" s="11">
        <f t="shared" si="4"/>
        <v>59320</v>
      </c>
      <c r="H41" s="13">
        <v>13714</v>
      </c>
    </row>
    <row r="42" spans="1:11">
      <c r="E42" s="8">
        <v>40</v>
      </c>
      <c r="F42" s="9">
        <f t="shared" ref="F42:F55" si="5">E42^$D$3</f>
        <v>64000</v>
      </c>
      <c r="G42" s="11">
        <f t="shared" ref="G42:G55" si="6">ROUNDUP(F42,-1)</f>
        <v>64000</v>
      </c>
      <c r="H42" s="13">
        <v>13715</v>
      </c>
    </row>
    <row r="43" spans="1:11">
      <c r="E43" s="8">
        <v>41</v>
      </c>
      <c r="F43" s="9">
        <f t="shared" si="5"/>
        <v>68921</v>
      </c>
      <c r="G43" s="11">
        <f t="shared" si="6"/>
        <v>68930</v>
      </c>
      <c r="H43" s="13">
        <v>13716</v>
      </c>
    </row>
    <row r="44" spans="1:11">
      <c r="E44" s="8">
        <v>42</v>
      </c>
      <c r="F44" s="9">
        <f t="shared" si="5"/>
        <v>74088</v>
      </c>
      <c r="G44" s="11">
        <f t="shared" si="6"/>
        <v>74090</v>
      </c>
      <c r="H44" s="13">
        <v>13717</v>
      </c>
    </row>
    <row r="45" spans="1:11">
      <c r="E45" s="8">
        <v>43</v>
      </c>
      <c r="F45" s="9">
        <f t="shared" si="5"/>
        <v>79507</v>
      </c>
      <c r="G45" s="11">
        <f t="shared" si="6"/>
        <v>79510</v>
      </c>
      <c r="H45" s="13">
        <v>13718</v>
      </c>
    </row>
    <row r="46" spans="1:11">
      <c r="E46" s="8">
        <v>44</v>
      </c>
      <c r="F46" s="9">
        <f t="shared" si="5"/>
        <v>85184</v>
      </c>
      <c r="G46" s="11">
        <f t="shared" si="6"/>
        <v>85190</v>
      </c>
      <c r="H46" s="13">
        <v>13719</v>
      </c>
    </row>
    <row r="47" spans="1:11">
      <c r="E47" s="8">
        <v>45</v>
      </c>
      <c r="F47" s="9">
        <f t="shared" si="5"/>
        <v>91125</v>
      </c>
      <c r="G47" s="11">
        <f t="shared" si="6"/>
        <v>91130</v>
      </c>
      <c r="H47" s="13">
        <v>13720</v>
      </c>
    </row>
    <row r="48" spans="1:11">
      <c r="E48" s="8">
        <v>46</v>
      </c>
      <c r="F48" s="9">
        <f t="shared" si="5"/>
        <v>97336</v>
      </c>
      <c r="G48" s="11">
        <f t="shared" si="6"/>
        <v>97340</v>
      </c>
      <c r="H48" s="13">
        <v>13721</v>
      </c>
    </row>
    <row r="49" spans="5:8">
      <c r="E49" s="8">
        <v>47</v>
      </c>
      <c r="F49" s="9">
        <f t="shared" si="5"/>
        <v>103823</v>
      </c>
      <c r="G49" s="11">
        <f t="shared" si="6"/>
        <v>103830</v>
      </c>
      <c r="H49" s="13">
        <v>13722</v>
      </c>
    </row>
    <row r="50" spans="5:8">
      <c r="E50" s="8">
        <v>48</v>
      </c>
      <c r="F50" s="9">
        <f t="shared" si="5"/>
        <v>110592</v>
      </c>
      <c r="G50" s="11">
        <f t="shared" si="6"/>
        <v>110600</v>
      </c>
      <c r="H50" s="13">
        <v>13723</v>
      </c>
    </row>
    <row r="51" spans="5:8">
      <c r="E51" s="8">
        <v>49</v>
      </c>
      <c r="F51" s="9">
        <f t="shared" si="5"/>
        <v>117649</v>
      </c>
      <c r="G51" s="11">
        <f t="shared" si="6"/>
        <v>117650</v>
      </c>
      <c r="H51" s="13">
        <v>13724</v>
      </c>
    </row>
    <row r="52" spans="5:8">
      <c r="E52" s="8">
        <v>50</v>
      </c>
      <c r="F52" s="9">
        <f t="shared" si="5"/>
        <v>125000</v>
      </c>
      <c r="G52" s="11">
        <f t="shared" si="6"/>
        <v>125000</v>
      </c>
      <c r="H52" s="13">
        <v>13725</v>
      </c>
    </row>
    <row r="53" spans="5:8">
      <c r="E53" s="8">
        <v>51</v>
      </c>
      <c r="F53" s="9">
        <f t="shared" si="5"/>
        <v>132651</v>
      </c>
      <c r="G53" s="11">
        <f t="shared" si="6"/>
        <v>132660</v>
      </c>
      <c r="H53" s="13">
        <v>13726</v>
      </c>
    </row>
    <row r="54" spans="5:8">
      <c r="E54" s="8">
        <v>52</v>
      </c>
      <c r="F54" s="9">
        <f t="shared" si="5"/>
        <v>140608</v>
      </c>
      <c r="G54" s="11">
        <f t="shared" si="6"/>
        <v>140610</v>
      </c>
      <c r="H54" s="13">
        <v>13727</v>
      </c>
    </row>
    <row r="55" spans="5:8">
      <c r="E55" s="8">
        <v>53</v>
      </c>
      <c r="F55" s="9">
        <f t="shared" si="5"/>
        <v>148877</v>
      </c>
      <c r="G55" s="11">
        <f t="shared" si="6"/>
        <v>148880</v>
      </c>
      <c r="H55" s="13">
        <v>13728</v>
      </c>
    </row>
  </sheetData>
  <conditionalFormatting sqref="I3:N14 I2:J2 L2:N2">
    <cfRule type="cellIs" dxfId="61" priority="1" stopIfTrue="1" operator="equal">
      <formula>"d2"</formula>
    </cfRule>
    <cfRule type="cellIs" dxfId="60" priority="2" stopIfTrue="1" operator="equal">
      <formula>"d1"</formula>
    </cfRule>
    <cfRule type="cellIs" dxfId="59" priority="3" stopIfTrue="1" operator="equal">
      <formula>"d0"</formula>
    </cfRule>
    <cfRule type="cellIs" dxfId="58" priority="4" stopIfTrue="1" operator="equal">
      <formula>"a2"</formula>
    </cfRule>
    <cfRule type="cellIs" dxfId="57" priority="5" stopIfTrue="1" operator="equal">
      <formula>"a1"</formula>
    </cfRule>
    <cfRule type="cellIs" dxfId="56" priority="6" stopIfTrue="1" operator="equal">
      <formula>"a0"</formula>
    </cfRule>
    <cfRule type="cellIs" dxfId="55" priority="7" stopIfTrue="1" operator="equal">
      <formula>"g1"</formula>
    </cfRule>
    <cfRule type="cellIs" dxfId="54" priority="8" stopIfTrue="1" operator="equal">
      <formula>"g0"</formula>
    </cfRule>
  </conditionalFormatting>
  <conditionalFormatting sqref="A1 A56:AD89 AN1:AO2 C1:AD1 A4:E4 A3:F3 O2:AD14 A13:B18 B19:B20 A20:A36 D2:H2 I28:J35 A37:D55 I36:AD55 E28:E55 F4:F55 H3:H55 J15:AD15 J18:K27 J16:J17 L16:AD35 B28:D29 B31:D36 C30:D30 B22:B27 A5:A7 B4:B6 C5:E27">
    <cfRule type="cellIs" dxfId="53" priority="39" stopIfTrue="1" operator="equal">
      <formula>"d1"</formula>
    </cfRule>
    <cfRule type="cellIs" dxfId="52" priority="40" stopIfTrue="1" operator="equal">
      <formula>"d0"</formula>
    </cfRule>
    <cfRule type="cellIs" dxfId="51" priority="41" stopIfTrue="1" operator="equal">
      <formula>"a2"</formula>
    </cfRule>
    <cfRule type="cellIs" dxfId="50" priority="42" stopIfTrue="1" operator="equal">
      <formula>"a1"</formula>
    </cfRule>
    <cfRule type="cellIs" dxfId="49" priority="43" stopIfTrue="1" operator="equal">
      <formula>"a0"</formula>
    </cfRule>
    <cfRule type="cellIs" dxfId="48" priority="44" stopIfTrue="1" operator="equal">
      <formula>"g1"</formula>
    </cfRule>
    <cfRule type="cellIs" dxfId="47" priority="45" stopIfTrue="1" operator="equal">
      <formula>"g0"</formula>
    </cfRule>
  </conditionalFormatting>
  <dataValidations count="1">
    <dataValidation type="list" allowBlank="1" showInputMessage="1" showErrorMessage="1" sqref="B1" xr:uid="{00000000-0002-0000-0400-000000000000}">
      <formula1>$B$21:$B$22</formula1>
    </dataValidation>
  </dataValidations>
  <pageMargins left="0.69930555555555596" right="0.69930555555555596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ltText="" r:id="rId5">
            <anchor moveWithCells="1">
              <from>
                <xdr:col>0</xdr:col>
                <xdr:colOff>0</xdr:colOff>
                <xdr:row>8</xdr:row>
                <xdr:rowOff>133350</xdr:rowOff>
              </from>
              <to>
                <xdr:col>0</xdr:col>
                <xdr:colOff>1724025</xdr:colOff>
                <xdr:row>14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55042-8992-47C3-9DCE-0BB91D10D724}">
  <sheetPr codeName="Sheet5"/>
  <dimension ref="A1:N84"/>
  <sheetViews>
    <sheetView tabSelected="1" zoomScale="145" zoomScaleNormal="145" workbookViewId="0">
      <pane ySplit="1" topLeftCell="A47" activePane="bottomLeft" state="frozen"/>
      <selection pane="bottomLeft" activeCell="J42" sqref="J42"/>
    </sheetView>
  </sheetViews>
  <sheetFormatPr defaultRowHeight="15"/>
  <cols>
    <col min="1" max="1" width="4.42578125" customWidth="1"/>
    <col min="2" max="2" width="16.5703125" bestFit="1" customWidth="1"/>
    <col min="3" max="3" width="9.28515625" bestFit="1" customWidth="1"/>
    <col min="4" max="4" width="11.85546875" customWidth="1"/>
    <col min="5" max="5" width="6.7109375" customWidth="1"/>
    <col min="6" max="6" width="6.140625" customWidth="1"/>
    <col min="7" max="7" width="8.42578125" customWidth="1"/>
    <col min="8" max="8" width="8.5703125" customWidth="1"/>
    <col min="9" max="9" width="9" bestFit="1" customWidth="1"/>
    <col min="10" max="10" width="13" style="61" customWidth="1"/>
    <col min="11" max="11" width="6" style="61" customWidth="1"/>
    <col min="12" max="12" width="11.42578125" style="72" customWidth="1"/>
    <col min="13" max="13" width="15.85546875" bestFit="1" customWidth="1"/>
    <col min="14" max="14" width="10.28515625" style="172" bestFit="1" customWidth="1"/>
  </cols>
  <sheetData>
    <row r="1" spans="1:14" s="50" customFormat="1">
      <c r="A1" s="50" t="s">
        <v>0</v>
      </c>
      <c r="B1" s="50" t="s">
        <v>1</v>
      </c>
      <c r="C1" s="50" t="s">
        <v>138</v>
      </c>
      <c r="D1" s="50" t="s">
        <v>2</v>
      </c>
      <c r="E1" s="50" t="s">
        <v>312</v>
      </c>
      <c r="F1" s="50" t="s">
        <v>313</v>
      </c>
      <c r="G1" s="302" t="s">
        <v>101</v>
      </c>
      <c r="H1" s="302" t="s">
        <v>83</v>
      </c>
      <c r="I1" s="302" t="s">
        <v>84</v>
      </c>
      <c r="J1" s="303" t="s">
        <v>117</v>
      </c>
      <c r="K1" s="303" t="s">
        <v>65</v>
      </c>
      <c r="L1" s="304" t="s">
        <v>122</v>
      </c>
      <c r="M1" s="50" t="s">
        <v>3</v>
      </c>
      <c r="N1" s="305" t="s">
        <v>143</v>
      </c>
    </row>
    <row r="2" spans="1:14">
      <c r="A2">
        <v>1</v>
      </c>
      <c r="B2" s="30" t="s">
        <v>4</v>
      </c>
      <c r="C2" s="30" t="s">
        <v>6</v>
      </c>
      <c r="D2" t="s">
        <v>128</v>
      </c>
      <c r="E2">
        <v>0</v>
      </c>
      <c r="F2">
        <v>0</v>
      </c>
      <c r="G2" s="26">
        <v>2</v>
      </c>
      <c r="H2" s="25">
        <v>20</v>
      </c>
      <c r="I2" s="26">
        <v>2</v>
      </c>
      <c r="J2" s="65">
        <v>1</v>
      </c>
      <c r="K2" s="65">
        <v>2</v>
      </c>
      <c r="L2" s="71">
        <v>0</v>
      </c>
      <c r="M2" s="28" t="str">
        <f t="shared" ref="M2:M13" si="0">LOWER(SUBSTITUTE(TRIM(B2)," ",""))</f>
        <v>wheat</v>
      </c>
      <c r="N2" s="172">
        <f>_xlfn.IFNA(INDEX(ZConfig!$C$4:$C$20,MATCH(C2,ZConfig!$B$4:$B$20,0)),"")</f>
        <v>1</v>
      </c>
    </row>
    <row r="3" spans="1:14">
      <c r="A3">
        <v>2</v>
      </c>
      <c r="B3" s="98" t="s">
        <v>8</v>
      </c>
      <c r="C3" s="30" t="s">
        <v>6</v>
      </c>
      <c r="D3" s="167" t="s">
        <v>129</v>
      </c>
      <c r="E3">
        <v>5</v>
      </c>
      <c r="F3">
        <v>2</v>
      </c>
      <c r="G3" s="26">
        <v>3</v>
      </c>
      <c r="H3" s="25">
        <v>21</v>
      </c>
      <c r="I3" s="26">
        <v>2</v>
      </c>
      <c r="J3" s="65">
        <v>2</v>
      </c>
      <c r="K3" s="65">
        <v>3</v>
      </c>
      <c r="L3" s="71">
        <v>0</v>
      </c>
      <c r="M3" s="28" t="str">
        <f t="shared" si="0"/>
        <v>corn</v>
      </c>
      <c r="N3" s="172">
        <f>_xlfn.IFNA(INDEX(ZConfig!$C$4:$C$20,MATCH(C3,ZConfig!$B$4:$B$20,0)),"")</f>
        <v>1</v>
      </c>
    </row>
    <row r="4" spans="1:14">
      <c r="A4">
        <v>3</v>
      </c>
      <c r="B4" s="70" t="s">
        <v>37</v>
      </c>
      <c r="C4" s="30" t="s">
        <v>6</v>
      </c>
      <c r="D4" s="167" t="s">
        <v>130</v>
      </c>
      <c r="E4">
        <v>5</v>
      </c>
      <c r="F4">
        <v>2</v>
      </c>
      <c r="G4" s="26">
        <v>3</v>
      </c>
      <c r="H4" s="25">
        <v>21</v>
      </c>
      <c r="I4" s="26">
        <v>2</v>
      </c>
      <c r="J4" s="65">
        <v>3</v>
      </c>
      <c r="K4" s="65">
        <v>4</v>
      </c>
      <c r="L4" s="71">
        <v>0</v>
      </c>
      <c r="M4" s="28" t="str">
        <f t="shared" si="0"/>
        <v>carrot</v>
      </c>
      <c r="N4" s="172">
        <f>_xlfn.IFNA(INDEX(ZConfig!$C$4:$C$20,MATCH(C4,ZConfig!$B$4:$B$20,0)),"")</f>
        <v>1</v>
      </c>
    </row>
    <row r="5" spans="1:14">
      <c r="A5">
        <v>4</v>
      </c>
      <c r="B5" s="30" t="s">
        <v>9</v>
      </c>
      <c r="C5" s="30" t="s">
        <v>6</v>
      </c>
      <c r="D5" s="167" t="s">
        <v>131</v>
      </c>
      <c r="E5">
        <v>5</v>
      </c>
      <c r="F5">
        <v>2</v>
      </c>
      <c r="G5" s="26">
        <v>4</v>
      </c>
      <c r="H5" s="25">
        <v>29</v>
      </c>
      <c r="I5" s="26">
        <v>3</v>
      </c>
      <c r="J5" s="65">
        <v>4</v>
      </c>
      <c r="K5" s="65">
        <v>5</v>
      </c>
      <c r="L5" s="71">
        <v>0</v>
      </c>
      <c r="M5" s="28" t="str">
        <f t="shared" si="0"/>
        <v>strawberry</v>
      </c>
      <c r="N5" s="172">
        <f>_xlfn.IFNA(INDEX(ZConfig!$C$4:$C$20,MATCH(C5,ZConfig!$B$4:$B$20,0)),"")</f>
        <v>1</v>
      </c>
    </row>
    <row r="6" spans="1:14">
      <c r="A6">
        <v>5</v>
      </c>
      <c r="B6" s="70" t="s">
        <v>70</v>
      </c>
      <c r="C6" s="30" t="s">
        <v>6</v>
      </c>
      <c r="D6" t="s">
        <v>127</v>
      </c>
      <c r="E6">
        <v>5</v>
      </c>
      <c r="F6">
        <v>2</v>
      </c>
      <c r="G6" s="26">
        <v>4</v>
      </c>
      <c r="H6" s="25">
        <v>30</v>
      </c>
      <c r="I6" s="26">
        <v>4</v>
      </c>
      <c r="J6" s="65">
        <v>5</v>
      </c>
      <c r="K6" s="65">
        <v>5</v>
      </c>
      <c r="L6" s="71">
        <v>0</v>
      </c>
      <c r="M6" s="28" t="str">
        <f t="shared" si="0"/>
        <v>potato</v>
      </c>
      <c r="N6" s="172">
        <f>_xlfn.IFNA(INDEX(ZConfig!$C$4:$C$20,MATCH(C6,ZConfig!$B$4:$B$20,0)),"")</f>
        <v>1</v>
      </c>
    </row>
    <row r="7" spans="1:14">
      <c r="A7">
        <v>6</v>
      </c>
      <c r="B7" s="30" t="s">
        <v>11</v>
      </c>
      <c r="C7" s="30" t="s">
        <v>6</v>
      </c>
      <c r="D7" t="s">
        <v>127</v>
      </c>
      <c r="E7">
        <v>5</v>
      </c>
      <c r="F7">
        <v>2</v>
      </c>
      <c r="G7" s="26">
        <v>4</v>
      </c>
      <c r="H7" s="25">
        <v>31</v>
      </c>
      <c r="I7" s="26">
        <v>4</v>
      </c>
      <c r="J7" s="65">
        <v>6</v>
      </c>
      <c r="K7" s="65">
        <v>6</v>
      </c>
      <c r="L7" s="71">
        <v>0</v>
      </c>
      <c r="M7" s="28" t="str">
        <f t="shared" si="0"/>
        <v>tomato</v>
      </c>
      <c r="N7" s="172">
        <f>_xlfn.IFNA(INDEX(ZConfig!$C$4:$C$20,MATCH(C7,ZConfig!$B$4:$B$20,0)),"")</f>
        <v>1</v>
      </c>
    </row>
    <row r="8" spans="1:14">
      <c r="A8">
        <v>7</v>
      </c>
      <c r="B8" s="30" t="s">
        <v>10</v>
      </c>
      <c r="C8" s="30" t="s">
        <v>6</v>
      </c>
      <c r="D8" t="s">
        <v>127</v>
      </c>
      <c r="E8">
        <v>0</v>
      </c>
      <c r="F8">
        <v>0</v>
      </c>
      <c r="G8" s="26">
        <v>4</v>
      </c>
      <c r="H8" s="25">
        <v>28</v>
      </c>
      <c r="I8" s="26">
        <v>6</v>
      </c>
      <c r="J8" s="65">
        <v>7</v>
      </c>
      <c r="K8" s="65">
        <v>6</v>
      </c>
      <c r="L8" s="71">
        <v>0</v>
      </c>
      <c r="M8" s="29" t="str">
        <f t="shared" si="0"/>
        <v>pumpkin</v>
      </c>
      <c r="N8" s="172">
        <f>_xlfn.IFNA(INDEX(ZConfig!$C$4:$C$20,MATCH(C8,ZConfig!$B$4:$B$20,0)),"")</f>
        <v>1</v>
      </c>
    </row>
    <row r="9" spans="1:14">
      <c r="A9">
        <v>8</v>
      </c>
      <c r="B9" s="70" t="s">
        <v>66</v>
      </c>
      <c r="C9" s="30" t="s">
        <v>6</v>
      </c>
      <c r="D9" t="s">
        <v>127</v>
      </c>
      <c r="E9">
        <v>5</v>
      </c>
      <c r="F9">
        <v>2</v>
      </c>
      <c r="G9" s="26">
        <v>4</v>
      </c>
      <c r="H9" s="25">
        <v>28</v>
      </c>
      <c r="I9" s="26">
        <v>6</v>
      </c>
      <c r="J9" s="65">
        <v>8</v>
      </c>
      <c r="K9" s="65">
        <v>7</v>
      </c>
      <c r="L9" s="71">
        <v>0</v>
      </c>
      <c r="M9" s="29" t="str">
        <f t="shared" si="0"/>
        <v>beet</v>
      </c>
      <c r="N9" s="172">
        <f>_xlfn.IFNA(INDEX(ZConfig!$C$4:$C$20,MATCH(C9,ZConfig!$B$4:$B$20,0)),"")</f>
        <v>1</v>
      </c>
    </row>
    <row r="10" spans="1:14">
      <c r="A10">
        <v>9</v>
      </c>
      <c r="B10" s="70" t="s">
        <v>68</v>
      </c>
      <c r="C10" s="30" t="s">
        <v>6</v>
      </c>
      <c r="D10" t="s">
        <v>127</v>
      </c>
      <c r="E10">
        <v>0</v>
      </c>
      <c r="F10">
        <v>0</v>
      </c>
      <c r="G10" s="26">
        <v>4</v>
      </c>
      <c r="H10" s="25">
        <v>28</v>
      </c>
      <c r="I10" s="26">
        <v>6</v>
      </c>
      <c r="J10" s="65">
        <v>9</v>
      </c>
      <c r="K10" s="65">
        <v>7</v>
      </c>
      <c r="L10" s="71">
        <v>0</v>
      </c>
      <c r="M10" s="29" t="str">
        <f t="shared" si="0"/>
        <v>coffeebean</v>
      </c>
      <c r="N10" s="172">
        <f>_xlfn.IFNA(INDEX(ZConfig!$C$4:$C$20,MATCH(C10,ZConfig!$B$4:$B$20,0)),"")</f>
        <v>1</v>
      </c>
    </row>
    <row r="11" spans="1:14">
      <c r="A11">
        <v>10</v>
      </c>
      <c r="B11" s="70" t="s">
        <v>43</v>
      </c>
      <c r="C11" s="30" t="s">
        <v>6</v>
      </c>
      <c r="D11" t="s">
        <v>127</v>
      </c>
      <c r="E11">
        <v>0</v>
      </c>
      <c r="F11">
        <v>0</v>
      </c>
      <c r="G11" s="26">
        <v>4</v>
      </c>
      <c r="H11" s="25">
        <v>28</v>
      </c>
      <c r="I11" s="26">
        <v>7</v>
      </c>
      <c r="J11" s="65">
        <v>2</v>
      </c>
      <c r="K11" s="65">
        <v>2</v>
      </c>
      <c r="L11" s="71">
        <v>0</v>
      </c>
      <c r="M11" s="29" t="str">
        <f t="shared" si="0"/>
        <v>cotton</v>
      </c>
      <c r="N11" s="172">
        <f>_xlfn.IFNA(INDEX(ZConfig!$C$4:$C$20,MATCH(C11,ZConfig!$B$4:$B$20,0)),"")</f>
        <v>1</v>
      </c>
    </row>
    <row r="12" spans="1:14">
      <c r="A12">
        <v>11</v>
      </c>
      <c r="B12" s="70" t="s">
        <v>69</v>
      </c>
      <c r="C12" s="30" t="s">
        <v>6</v>
      </c>
      <c r="D12" t="s">
        <v>127</v>
      </c>
      <c r="E12">
        <v>0</v>
      </c>
      <c r="F12">
        <v>0</v>
      </c>
      <c r="G12" s="26">
        <v>4</v>
      </c>
      <c r="H12" s="25">
        <v>28</v>
      </c>
      <c r="I12" s="26">
        <v>7</v>
      </c>
      <c r="J12" s="65">
        <v>3</v>
      </c>
      <c r="K12" s="65">
        <v>3</v>
      </c>
      <c r="L12" s="71">
        <v>0</v>
      </c>
      <c r="M12" s="29" t="str">
        <f t="shared" si="0"/>
        <v>hotpepper</v>
      </c>
      <c r="N12" s="172">
        <f>_xlfn.IFNA(INDEX(ZConfig!$C$4:$C$20,MATCH(C12,ZConfig!$B$4:$B$20,0)),"")</f>
        <v>1</v>
      </c>
    </row>
    <row r="13" spans="1:14" s="91" customFormat="1">
      <c r="A13">
        <v>12</v>
      </c>
      <c r="B13" s="92" t="s">
        <v>85</v>
      </c>
      <c r="C13" s="92" t="s">
        <v>7</v>
      </c>
      <c r="D13" s="168" t="s">
        <v>137</v>
      </c>
      <c r="E13">
        <v>10</v>
      </c>
      <c r="F13">
        <v>5</v>
      </c>
      <c r="G13" s="93">
        <v>4</v>
      </c>
      <c r="H13" s="93">
        <v>28</v>
      </c>
      <c r="I13" s="93">
        <v>7</v>
      </c>
      <c r="J13" s="58">
        <v>1</v>
      </c>
      <c r="K13" s="58">
        <v>4</v>
      </c>
      <c r="L13" s="94">
        <v>0</v>
      </c>
      <c r="M13" s="95" t="str">
        <f t="shared" si="0"/>
        <v>bread</v>
      </c>
      <c r="N13" s="172">
        <f>_xlfn.IFNA(INDEX(ZConfig!$C$4:$C$20,MATCH(C13,ZConfig!$B$4:$B$20,0)),"")</f>
        <v>2</v>
      </c>
    </row>
    <row r="14" spans="1:14" s="91" customFormat="1">
      <c r="A14">
        <v>13</v>
      </c>
      <c r="B14" s="96" t="s">
        <v>109</v>
      </c>
      <c r="C14" s="92" t="s">
        <v>7</v>
      </c>
      <c r="D14" s="168" t="s">
        <v>136</v>
      </c>
      <c r="E14">
        <v>10</v>
      </c>
      <c r="F14">
        <v>5</v>
      </c>
      <c r="G14" s="93">
        <v>4</v>
      </c>
      <c r="H14" s="93">
        <v>28</v>
      </c>
      <c r="I14" s="93">
        <v>7</v>
      </c>
      <c r="J14" s="58">
        <v>2</v>
      </c>
      <c r="K14" s="58">
        <v>5</v>
      </c>
      <c r="L14" s="94">
        <v>0</v>
      </c>
      <c r="M14" s="95" t="str">
        <f t="shared" ref="M14:M15" si="1">LOWER(SUBSTITUTE(TRIM(B14)," ",""))</f>
        <v>cornbread</v>
      </c>
      <c r="N14" s="172">
        <f>_xlfn.IFNA(INDEX(ZConfig!$C$4:$C$20,MATCH(C14,ZConfig!$B$4:$B$20,0)),"")</f>
        <v>2</v>
      </c>
    </row>
    <row r="15" spans="1:14" s="91" customFormat="1">
      <c r="A15">
        <v>14</v>
      </c>
      <c r="B15" s="92" t="s">
        <v>86</v>
      </c>
      <c r="C15" s="92" t="s">
        <v>7</v>
      </c>
      <c r="D15" s="168" t="s">
        <v>135</v>
      </c>
      <c r="E15">
        <v>12</v>
      </c>
      <c r="F15">
        <v>5</v>
      </c>
      <c r="G15" s="93">
        <v>4</v>
      </c>
      <c r="H15" s="93">
        <v>28</v>
      </c>
      <c r="I15" s="93">
        <v>7</v>
      </c>
      <c r="J15" s="58">
        <v>3</v>
      </c>
      <c r="K15" s="58">
        <v>5</v>
      </c>
      <c r="L15" s="94">
        <v>0</v>
      </c>
      <c r="M15" s="95" t="str">
        <f t="shared" si="1"/>
        <v>cookie</v>
      </c>
      <c r="N15" s="172">
        <f>_xlfn.IFNA(INDEX(ZConfig!$C$4:$C$20,MATCH(C15,ZConfig!$B$4:$B$20,0)),"")</f>
        <v>2</v>
      </c>
    </row>
    <row r="16" spans="1:14" s="91" customFormat="1">
      <c r="A16">
        <v>15</v>
      </c>
      <c r="B16" s="97" t="s">
        <v>114</v>
      </c>
      <c r="C16" s="92" t="s">
        <v>7</v>
      </c>
      <c r="D16" s="168" t="s">
        <v>134</v>
      </c>
      <c r="E16">
        <v>12</v>
      </c>
      <c r="F16">
        <v>5</v>
      </c>
      <c r="G16" s="93">
        <v>4</v>
      </c>
      <c r="H16" s="93">
        <v>28</v>
      </c>
      <c r="I16" s="93">
        <v>7</v>
      </c>
      <c r="J16" s="58">
        <v>4</v>
      </c>
      <c r="K16" s="58">
        <v>10</v>
      </c>
      <c r="L16" s="94">
        <v>0</v>
      </c>
      <c r="M16" s="95" t="str">
        <f>LOWER(SUBSTITUTE(TRIM(B16)," ",""))</f>
        <v>applepie</v>
      </c>
      <c r="N16" s="172">
        <f>_xlfn.IFNA(INDEX(ZConfig!$C$4:$C$20,MATCH(C16,ZConfig!$B$4:$B$20,0)),"")</f>
        <v>2</v>
      </c>
    </row>
    <row r="17" spans="1:14" s="85" customFormat="1">
      <c r="A17">
        <v>16</v>
      </c>
      <c r="B17" s="86" t="s">
        <v>102</v>
      </c>
      <c r="C17" s="86" t="s">
        <v>39</v>
      </c>
      <c r="D17" s="85" t="s">
        <v>5</v>
      </c>
      <c r="E17">
        <v>6</v>
      </c>
      <c r="F17">
        <v>5</v>
      </c>
      <c r="G17" s="87">
        <v>4</v>
      </c>
      <c r="H17" s="87">
        <v>28</v>
      </c>
      <c r="I17" s="87">
        <v>7</v>
      </c>
      <c r="J17" s="88">
        <v>1</v>
      </c>
      <c r="K17" s="88">
        <v>5</v>
      </c>
      <c r="L17" s="89">
        <v>0</v>
      </c>
      <c r="M17" s="90" t="str">
        <f t="shared" ref="M17:M27" si="2">LOWER(SUBSTITUTE(TRIM(B17)," ",""))</f>
        <v>egg</v>
      </c>
      <c r="N17" s="172">
        <f>_xlfn.IFNA(INDEX(ZConfig!$C$4:$C$20,MATCH(C17,ZConfig!$B$4:$B$20,0)),"")</f>
        <v>3</v>
      </c>
    </row>
    <row r="18" spans="1:14" s="85" customFormat="1">
      <c r="A18">
        <v>17</v>
      </c>
      <c r="B18" s="86" t="s">
        <v>103</v>
      </c>
      <c r="C18" s="86" t="s">
        <v>39</v>
      </c>
      <c r="D18" s="85" t="s">
        <v>5</v>
      </c>
      <c r="E18">
        <v>8</v>
      </c>
      <c r="F18">
        <v>5</v>
      </c>
      <c r="G18" s="87">
        <v>4</v>
      </c>
      <c r="H18" s="87">
        <v>28</v>
      </c>
      <c r="I18" s="87">
        <v>7</v>
      </c>
      <c r="J18" s="88">
        <v>1</v>
      </c>
      <c r="K18" s="88">
        <v>6</v>
      </c>
      <c r="L18" s="89">
        <v>0</v>
      </c>
      <c r="M18" s="90" t="str">
        <f t="shared" si="2"/>
        <v>milk</v>
      </c>
      <c r="N18" s="172">
        <f>_xlfn.IFNA(INDEX(ZConfig!$C$4:$C$20,MATCH(C18,ZConfig!$B$4:$B$20,0)),"")</f>
        <v>3</v>
      </c>
    </row>
    <row r="19" spans="1:14" s="183" customFormat="1">
      <c r="A19">
        <v>18</v>
      </c>
      <c r="B19" s="189" t="s">
        <v>149</v>
      </c>
      <c r="C19" s="189" t="s">
        <v>7</v>
      </c>
      <c r="D19" s="183" t="s">
        <v>5</v>
      </c>
      <c r="E19">
        <v>10</v>
      </c>
      <c r="F19">
        <v>5</v>
      </c>
      <c r="G19" s="185">
        <v>4</v>
      </c>
      <c r="H19" s="185">
        <v>28</v>
      </c>
      <c r="I19" s="185">
        <v>7</v>
      </c>
      <c r="J19" s="186">
        <v>1</v>
      </c>
      <c r="K19" s="186">
        <v>7</v>
      </c>
      <c r="L19" s="187">
        <v>0</v>
      </c>
      <c r="M19" s="188" t="str">
        <f t="shared" si="2"/>
        <v>cream</v>
      </c>
      <c r="N19" s="172">
        <f>_xlfn.IFNA(INDEX(ZConfig!$C$4:$C$20,MATCH(C19,ZConfig!$B$4:$B$20,0)),"")</f>
        <v>2</v>
      </c>
    </row>
    <row r="20" spans="1:14" s="183" customFormat="1">
      <c r="A20">
        <v>19</v>
      </c>
      <c r="B20" s="189" t="s">
        <v>107</v>
      </c>
      <c r="C20" s="189" t="s">
        <v>7</v>
      </c>
      <c r="D20" s="183" t="s">
        <v>5</v>
      </c>
      <c r="E20">
        <v>10</v>
      </c>
      <c r="F20">
        <v>5</v>
      </c>
      <c r="G20" s="185">
        <v>4</v>
      </c>
      <c r="H20" s="185">
        <v>28</v>
      </c>
      <c r="I20" s="185">
        <v>7</v>
      </c>
      <c r="J20" s="186">
        <v>2</v>
      </c>
      <c r="K20" s="186">
        <v>7</v>
      </c>
      <c r="L20" s="187">
        <v>0</v>
      </c>
      <c r="M20" s="188" t="str">
        <f t="shared" ref="M20" si="3">LOWER(SUBSTITUTE(TRIM(B20)," ",""))</f>
        <v>cheese</v>
      </c>
      <c r="N20" s="172">
        <f>_xlfn.IFNA(INDEX(ZConfig!$C$4:$C$20,MATCH(C20,ZConfig!$B$4:$B$20,0)),"")</f>
        <v>2</v>
      </c>
    </row>
    <row r="21" spans="1:14" s="183" customFormat="1">
      <c r="A21">
        <v>20</v>
      </c>
      <c r="B21" s="184" t="s">
        <v>108</v>
      </c>
      <c r="C21" s="189" t="s">
        <v>7</v>
      </c>
      <c r="D21" s="183" t="s">
        <v>5</v>
      </c>
      <c r="E21">
        <v>8</v>
      </c>
      <c r="F21">
        <v>5</v>
      </c>
      <c r="G21" s="185">
        <v>4</v>
      </c>
      <c r="H21" s="185">
        <v>28</v>
      </c>
      <c r="I21" s="185">
        <v>7</v>
      </c>
      <c r="J21" s="186">
        <v>3</v>
      </c>
      <c r="K21" s="186">
        <v>8</v>
      </c>
      <c r="L21" s="187">
        <v>0</v>
      </c>
      <c r="M21" s="188" t="str">
        <f t="shared" si="2"/>
        <v>butter</v>
      </c>
      <c r="N21" s="172">
        <f>_xlfn.IFNA(INDEX(ZConfig!$C$4:$C$20,MATCH(C21,ZConfig!$B$4:$B$20,0)),"")</f>
        <v>2</v>
      </c>
    </row>
    <row r="22" spans="1:14" s="36" customFormat="1">
      <c r="A22">
        <v>21</v>
      </c>
      <c r="B22" s="73" t="s">
        <v>113</v>
      </c>
      <c r="C22" s="73" t="s">
        <v>39</v>
      </c>
      <c r="D22" s="36" t="s">
        <v>5</v>
      </c>
      <c r="E22">
        <v>6</v>
      </c>
      <c r="F22">
        <v>5</v>
      </c>
      <c r="G22" s="74">
        <v>4</v>
      </c>
      <c r="H22" s="74">
        <v>28</v>
      </c>
      <c r="I22" s="74">
        <v>7</v>
      </c>
      <c r="J22" s="75">
        <v>12</v>
      </c>
      <c r="K22" s="75">
        <v>9</v>
      </c>
      <c r="L22" s="76">
        <v>20</v>
      </c>
      <c r="M22" s="77" t="str">
        <f t="shared" si="2"/>
        <v>apple</v>
      </c>
      <c r="N22" s="172">
        <f>_xlfn.IFNA(INDEX(ZConfig!$C$4:$C$20,MATCH(C22,ZConfig!$B$4:$B$20,0)),"")</f>
        <v>3</v>
      </c>
    </row>
    <row r="23" spans="1:14" s="36" customFormat="1">
      <c r="A23">
        <v>22</v>
      </c>
      <c r="B23" s="78" t="s">
        <v>121</v>
      </c>
      <c r="C23" s="73" t="s">
        <v>39</v>
      </c>
      <c r="D23" s="36" t="s">
        <v>5</v>
      </c>
      <c r="E23">
        <v>6</v>
      </c>
      <c r="F23">
        <v>5</v>
      </c>
      <c r="G23" s="74">
        <v>4</v>
      </c>
      <c r="H23" s="74">
        <v>28</v>
      </c>
      <c r="I23" s="74">
        <v>7</v>
      </c>
      <c r="J23" s="75">
        <v>14</v>
      </c>
      <c r="K23" s="75">
        <v>9</v>
      </c>
      <c r="L23" s="76">
        <v>20</v>
      </c>
      <c r="M23" s="77" t="str">
        <f t="shared" ref="M23" si="4">LOWER(SUBSTITUTE(TRIM(B23)," ",""))</f>
        <v>orange</v>
      </c>
      <c r="N23" s="172">
        <f>_xlfn.IFNA(INDEX(ZConfig!$C$4:$C$20,MATCH(C23,ZConfig!$B$4:$B$20,0)),"")</f>
        <v>3</v>
      </c>
    </row>
    <row r="24" spans="1:14">
      <c r="A24">
        <v>23</v>
      </c>
      <c r="B24" s="196" t="s">
        <v>67</v>
      </c>
      <c r="C24" s="36" t="s">
        <v>39</v>
      </c>
      <c r="D24" s="36" t="s">
        <v>167</v>
      </c>
      <c r="E24">
        <v>0</v>
      </c>
      <c r="F24">
        <v>0</v>
      </c>
      <c r="G24" s="74">
        <v>4</v>
      </c>
      <c r="H24" s="74">
        <v>28</v>
      </c>
      <c r="I24" s="74">
        <v>7</v>
      </c>
      <c r="J24" s="75">
        <v>14</v>
      </c>
      <c r="K24" s="75">
        <v>2</v>
      </c>
      <c r="L24" s="76">
        <v>0</v>
      </c>
      <c r="M24" s="77" t="str">
        <f>LOWER(SUBSTITUTE(TRIM(B24)," ",""))</f>
        <v>cocoa</v>
      </c>
      <c r="N24" s="172">
        <f>_xlfn.IFNA(INDEX(ZConfig!$C$4:$C$20,MATCH(C24,ZConfig!$B$4:$B$20,0)),"")</f>
        <v>3</v>
      </c>
    </row>
    <row r="25" spans="1:14" s="79" customFormat="1">
      <c r="A25">
        <v>24</v>
      </c>
      <c r="B25" s="79" t="s">
        <v>123</v>
      </c>
      <c r="C25" s="79" t="s">
        <v>7</v>
      </c>
      <c r="D25" s="166" t="s">
        <v>132</v>
      </c>
      <c r="E25">
        <v>8</v>
      </c>
      <c r="F25">
        <v>5</v>
      </c>
      <c r="G25" s="80">
        <v>4</v>
      </c>
      <c r="H25" s="80">
        <v>28</v>
      </c>
      <c r="I25" s="80">
        <v>7</v>
      </c>
      <c r="J25" s="81">
        <v>1</v>
      </c>
      <c r="K25" s="81">
        <v>9</v>
      </c>
      <c r="L25" s="82">
        <v>20</v>
      </c>
      <c r="M25" s="83" t="str">
        <f t="shared" ref="M25" si="5">LOWER(SUBSTITUTE(TRIM(B25)," ",""))</f>
        <v>applejuice</v>
      </c>
      <c r="N25" s="172">
        <f>_xlfn.IFNA(INDEX(ZConfig!$C$4:$C$20,MATCH(C25,ZConfig!$B$4:$B$20,0)),"")</f>
        <v>2</v>
      </c>
    </row>
    <row r="26" spans="1:14" s="79" customFormat="1">
      <c r="A26">
        <v>25</v>
      </c>
      <c r="B26" s="79" t="s">
        <v>172</v>
      </c>
      <c r="C26" s="79" t="s">
        <v>7</v>
      </c>
      <c r="D26" s="200" t="s">
        <v>173</v>
      </c>
      <c r="E26">
        <v>6</v>
      </c>
      <c r="F26">
        <v>5</v>
      </c>
      <c r="G26" s="80">
        <v>4</v>
      </c>
      <c r="H26" s="80">
        <v>28</v>
      </c>
      <c r="I26" s="80">
        <v>7</v>
      </c>
      <c r="J26" s="81">
        <v>1</v>
      </c>
      <c r="K26" s="81">
        <v>9</v>
      </c>
      <c r="L26" s="82">
        <v>20</v>
      </c>
      <c r="M26" s="83" t="str">
        <f t="shared" ref="M26" si="6">LOWER(SUBSTITUTE(TRIM(B26)," ",""))</f>
        <v>strawberryshake</v>
      </c>
      <c r="N26" s="172">
        <f>_xlfn.IFNA(INDEX(ZConfig!$C$4:$C$20,MATCH(C26,ZConfig!$B$4:$B$20,0)),"")</f>
        <v>2</v>
      </c>
    </row>
    <row r="27" spans="1:14" s="79" customFormat="1">
      <c r="A27">
        <v>26</v>
      </c>
      <c r="B27" s="84" t="s">
        <v>124</v>
      </c>
      <c r="C27" s="79" t="s">
        <v>7</v>
      </c>
      <c r="D27" s="166" t="s">
        <v>133</v>
      </c>
      <c r="E27">
        <v>8</v>
      </c>
      <c r="F27">
        <v>5</v>
      </c>
      <c r="G27" s="80">
        <v>4</v>
      </c>
      <c r="H27" s="80">
        <v>28</v>
      </c>
      <c r="I27" s="80">
        <v>7</v>
      </c>
      <c r="J27" s="81">
        <v>1</v>
      </c>
      <c r="K27" s="81">
        <v>10</v>
      </c>
      <c r="L27" s="82">
        <v>0</v>
      </c>
      <c r="M27" s="83" t="str">
        <f t="shared" si="2"/>
        <v>orangejuice</v>
      </c>
      <c r="N27" s="172">
        <f>_xlfn.IFNA(INDEX(ZConfig!$C$4:$C$20,MATCH(C27,ZConfig!$B$4:$B$20,0)),"")</f>
        <v>2</v>
      </c>
    </row>
    <row r="28" spans="1:14" s="190" customFormat="1">
      <c r="A28">
        <v>27</v>
      </c>
      <c r="B28" s="195" t="s">
        <v>154</v>
      </c>
      <c r="C28" s="190" t="s">
        <v>7</v>
      </c>
      <c r="D28" s="195" t="s">
        <v>154</v>
      </c>
      <c r="E28">
        <v>0</v>
      </c>
      <c r="F28">
        <v>0</v>
      </c>
      <c r="G28" s="191">
        <v>4</v>
      </c>
      <c r="H28" s="191">
        <v>28</v>
      </c>
      <c r="I28" s="191">
        <v>7</v>
      </c>
      <c r="J28" s="192">
        <v>1</v>
      </c>
      <c r="K28" s="192">
        <v>10</v>
      </c>
      <c r="L28" s="193">
        <v>0</v>
      </c>
      <c r="M28" s="194" t="str">
        <f t="shared" ref="M28:M30" si="7">LOWER(SUBSTITUTE(TRIM(B28)," ",""))</f>
        <v>chickenfeed</v>
      </c>
      <c r="N28" s="172">
        <f>_xlfn.IFNA(INDEX(ZConfig!$C$4:$C$20,MATCH(C28,ZConfig!$B$4:$B$20,0)),"")</f>
        <v>2</v>
      </c>
    </row>
    <row r="29" spans="1:14" s="190" customFormat="1">
      <c r="A29">
        <v>28</v>
      </c>
      <c r="B29" s="195" t="s">
        <v>155</v>
      </c>
      <c r="C29" s="190" t="s">
        <v>7</v>
      </c>
      <c r="D29" s="195" t="s">
        <v>155</v>
      </c>
      <c r="E29">
        <v>0</v>
      </c>
      <c r="F29">
        <v>0</v>
      </c>
      <c r="G29" s="191">
        <v>4</v>
      </c>
      <c r="H29" s="191">
        <v>28</v>
      </c>
      <c r="I29" s="191">
        <v>7</v>
      </c>
      <c r="J29" s="192">
        <v>1</v>
      </c>
      <c r="K29" s="192">
        <v>10</v>
      </c>
      <c r="L29" s="193">
        <v>0</v>
      </c>
      <c r="M29" s="194" t="str">
        <f t="shared" si="7"/>
        <v>cowfeed</v>
      </c>
      <c r="N29" s="172">
        <f>_xlfn.IFNA(INDEX(ZConfig!$C$4:$C$20,MATCH(C29,ZConfig!$B$4:$B$20,0)),"")</f>
        <v>2</v>
      </c>
    </row>
    <row r="30" spans="1:14" s="190" customFormat="1">
      <c r="A30">
        <v>29</v>
      </c>
      <c r="B30" s="195" t="s">
        <v>156</v>
      </c>
      <c r="C30" s="190" t="s">
        <v>7</v>
      </c>
      <c r="D30" s="195" t="s">
        <v>156</v>
      </c>
      <c r="E30">
        <v>0</v>
      </c>
      <c r="F30">
        <v>0</v>
      </c>
      <c r="G30" s="191">
        <v>4</v>
      </c>
      <c r="H30" s="191">
        <v>28</v>
      </c>
      <c r="I30" s="191">
        <v>7</v>
      </c>
      <c r="J30" s="192">
        <v>1</v>
      </c>
      <c r="K30" s="192">
        <v>10</v>
      </c>
      <c r="L30" s="193">
        <v>0</v>
      </c>
      <c r="M30" s="194" t="str">
        <f t="shared" si="7"/>
        <v>hay</v>
      </c>
      <c r="N30" s="172">
        <f>_xlfn.IFNA(INDEX(ZConfig!$C$4:$C$20,MATCH(C30,ZConfig!$B$4:$B$20,0)),"")</f>
        <v>2</v>
      </c>
    </row>
    <row r="31" spans="1:14" s="85" customFormat="1">
      <c r="A31">
        <v>30</v>
      </c>
      <c r="B31" s="197" t="s">
        <v>168</v>
      </c>
      <c r="C31" s="85" t="s">
        <v>7</v>
      </c>
      <c r="D31" s="197" t="s">
        <v>171</v>
      </c>
      <c r="E31">
        <v>6</v>
      </c>
      <c r="F31">
        <v>5</v>
      </c>
      <c r="G31" s="87">
        <v>4</v>
      </c>
      <c r="H31" s="87">
        <v>28</v>
      </c>
      <c r="I31" s="87">
        <v>7</v>
      </c>
      <c r="J31" s="88">
        <v>1</v>
      </c>
      <c r="K31" s="88">
        <v>10</v>
      </c>
      <c r="L31" s="89">
        <v>0</v>
      </c>
      <c r="M31" s="90" t="str">
        <f t="shared" ref="M31" si="8">LOWER(SUBSTITUTE(TRIM(B31)," ",""))</f>
        <v>sugar</v>
      </c>
      <c r="N31" s="172">
        <f>_xlfn.IFNA(INDEX(ZConfig!$C$4:$C$20,MATCH(C31,ZConfig!$B$4:$B$20,0)),"")</f>
        <v>2</v>
      </c>
    </row>
    <row r="32" spans="1:14" s="85" customFormat="1">
      <c r="A32">
        <v>31</v>
      </c>
      <c r="B32" s="197" t="s">
        <v>169</v>
      </c>
      <c r="C32" s="85" t="s">
        <v>7</v>
      </c>
      <c r="D32" s="197" t="s">
        <v>171</v>
      </c>
      <c r="E32">
        <v>6</v>
      </c>
      <c r="F32">
        <v>5</v>
      </c>
      <c r="G32" s="87">
        <v>4</v>
      </c>
      <c r="H32" s="87">
        <v>28</v>
      </c>
      <c r="I32" s="87">
        <v>7</v>
      </c>
      <c r="J32" s="88">
        <v>1</v>
      </c>
      <c r="K32" s="88">
        <v>10</v>
      </c>
      <c r="L32" s="89">
        <v>0</v>
      </c>
      <c r="M32" s="90" t="str">
        <f t="shared" ref="M32:M48" si="9">LOWER(SUBSTITUTE(TRIM(B32)," ",""))</f>
        <v>cornsyrup</v>
      </c>
      <c r="N32" s="172">
        <f>_xlfn.IFNA(INDEX(ZConfig!$C$4:$C$20,MATCH(C32,ZConfig!$B$4:$B$20,0)),"")</f>
        <v>2</v>
      </c>
    </row>
    <row r="33" spans="1:14" s="85" customFormat="1">
      <c r="A33">
        <v>32</v>
      </c>
      <c r="B33" s="197" t="s">
        <v>170</v>
      </c>
      <c r="C33" s="85" t="s">
        <v>7</v>
      </c>
      <c r="D33" s="197" t="s">
        <v>171</v>
      </c>
      <c r="E33">
        <v>3</v>
      </c>
      <c r="F33">
        <v>5</v>
      </c>
      <c r="G33" s="87">
        <v>4</v>
      </c>
      <c r="H33" s="87">
        <v>28</v>
      </c>
      <c r="I33" s="87">
        <v>7</v>
      </c>
      <c r="J33" s="88">
        <v>1</v>
      </c>
      <c r="K33" s="88">
        <v>10</v>
      </c>
      <c r="L33" s="89">
        <v>0</v>
      </c>
      <c r="M33" s="90" t="str">
        <f t="shared" si="9"/>
        <v>caramel</v>
      </c>
      <c r="N33" s="172">
        <f>_xlfn.IFNA(INDEX(ZConfig!$C$4:$C$20,MATCH(C33,ZConfig!$B$4:$B$20,0)),"")</f>
        <v>2</v>
      </c>
    </row>
    <row r="34" spans="1:14" s="79" customFormat="1">
      <c r="A34" s="79">
        <v>33</v>
      </c>
      <c r="B34" s="202" t="s">
        <v>194</v>
      </c>
      <c r="C34" s="79" t="s">
        <v>152</v>
      </c>
      <c r="D34" s="202" t="s">
        <v>204</v>
      </c>
      <c r="E34">
        <v>0</v>
      </c>
      <c r="F34">
        <v>0</v>
      </c>
      <c r="G34" s="80">
        <v>5</v>
      </c>
      <c r="H34" s="80">
        <v>100</v>
      </c>
      <c r="I34" s="80">
        <v>8</v>
      </c>
      <c r="J34" s="81">
        <v>1</v>
      </c>
      <c r="K34" s="81">
        <v>12</v>
      </c>
      <c r="L34" s="82">
        <v>0</v>
      </c>
      <c r="M34" s="83" t="str">
        <f t="shared" si="9"/>
        <v>stone</v>
      </c>
      <c r="N34" s="172">
        <f>_xlfn.IFNA(INDEX(ZConfig!$C$4:$C$20,MATCH(C34,ZConfig!$B$4:$B$20,0)),"")</f>
        <v>5</v>
      </c>
    </row>
    <row r="35" spans="1:14" s="79" customFormat="1">
      <c r="A35" s="79">
        <v>34</v>
      </c>
      <c r="B35" s="288" t="s">
        <v>271</v>
      </c>
      <c r="C35" s="79" t="s">
        <v>39</v>
      </c>
      <c r="D35" s="202" t="s">
        <v>215</v>
      </c>
      <c r="E35">
        <v>0</v>
      </c>
      <c r="F35">
        <v>0</v>
      </c>
      <c r="G35" s="80">
        <v>5</v>
      </c>
      <c r="H35" s="80">
        <v>100</v>
      </c>
      <c r="I35" s="80">
        <v>8</v>
      </c>
      <c r="J35" s="81">
        <v>1</v>
      </c>
      <c r="K35" s="81">
        <v>12</v>
      </c>
      <c r="L35" s="82">
        <v>0</v>
      </c>
      <c r="M35" s="83" t="str">
        <f t="shared" si="9"/>
        <v>birchlog</v>
      </c>
      <c r="N35" s="172">
        <f>_xlfn.IFNA(INDEX(ZConfig!$C$4:$C$20,MATCH(C35,ZConfig!$B$4:$B$20,0)),"")</f>
        <v>3</v>
      </c>
    </row>
    <row r="36" spans="1:14" s="79" customFormat="1">
      <c r="A36" s="79">
        <v>35</v>
      </c>
      <c r="B36" s="288" t="s">
        <v>272</v>
      </c>
      <c r="C36" s="79" t="s">
        <v>39</v>
      </c>
      <c r="D36" s="202" t="s">
        <v>215</v>
      </c>
      <c r="E36">
        <v>0</v>
      </c>
      <c r="F36">
        <v>0</v>
      </c>
      <c r="G36" s="80">
        <v>5</v>
      </c>
      <c r="H36" s="80">
        <v>100</v>
      </c>
      <c r="I36" s="80">
        <v>8</v>
      </c>
      <c r="J36" s="81">
        <v>1</v>
      </c>
      <c r="K36" s="81">
        <v>12</v>
      </c>
      <c r="L36" s="82">
        <v>0</v>
      </c>
      <c r="M36" s="83" t="str">
        <f t="shared" ref="M36" si="10">LOWER(SUBSTITUTE(TRIM(B36)," ",""))</f>
        <v>pinelog</v>
      </c>
      <c r="N36" s="172">
        <f>_xlfn.IFNA(INDEX(ZConfig!$C$4:$C$20,MATCH(C36,ZConfig!$B$4:$B$20,0)),"")</f>
        <v>3</v>
      </c>
    </row>
    <row r="37" spans="1:14" s="79" customFormat="1">
      <c r="A37" s="79">
        <v>36</v>
      </c>
      <c r="B37" s="202" t="s">
        <v>212</v>
      </c>
      <c r="C37" s="79" t="s">
        <v>39</v>
      </c>
      <c r="D37" s="202" t="s">
        <v>215</v>
      </c>
      <c r="E37">
        <v>0</v>
      </c>
      <c r="F37">
        <v>0</v>
      </c>
      <c r="G37" s="80">
        <v>5</v>
      </c>
      <c r="H37" s="80">
        <v>100</v>
      </c>
      <c r="I37" s="80">
        <v>8</v>
      </c>
      <c r="J37" s="81">
        <v>1</v>
      </c>
      <c r="K37" s="81">
        <v>12</v>
      </c>
      <c r="L37" s="82">
        <v>0</v>
      </c>
      <c r="M37" s="83" t="str">
        <f t="shared" ref="M37" si="11">LOWER(SUBSTITUTE(TRIM(B37)," ",""))</f>
        <v>hardwood</v>
      </c>
      <c r="N37" s="172">
        <f>_xlfn.IFNA(INDEX(ZConfig!$C$4:$C$20,MATCH(C37,ZConfig!$B$4:$B$20,0)),"")</f>
        <v>3</v>
      </c>
    </row>
    <row r="38" spans="1:14" s="79" customFormat="1">
      <c r="A38" s="79">
        <v>37</v>
      </c>
      <c r="B38" s="202" t="s">
        <v>213</v>
      </c>
      <c r="C38" s="79" t="s">
        <v>39</v>
      </c>
      <c r="D38" s="202" t="s">
        <v>215</v>
      </c>
      <c r="E38">
        <v>0</v>
      </c>
      <c r="F38">
        <v>0</v>
      </c>
      <c r="G38" s="80">
        <v>5</v>
      </c>
      <c r="H38" s="80">
        <v>100</v>
      </c>
      <c r="I38" s="80">
        <v>8</v>
      </c>
      <c r="J38" s="81">
        <v>1</v>
      </c>
      <c r="K38" s="81">
        <v>12</v>
      </c>
      <c r="L38" s="82">
        <v>0</v>
      </c>
      <c r="M38" s="83" t="str">
        <f t="shared" ref="M38" si="12">LOWER(SUBSTITUTE(TRIM(B38)," ",""))</f>
        <v>softwood</v>
      </c>
      <c r="N38" s="172">
        <f>_xlfn.IFNA(INDEX(ZConfig!$C$4:$C$20,MATCH(C38,ZConfig!$B$4:$B$20,0)),"")</f>
        <v>3</v>
      </c>
    </row>
    <row r="39" spans="1:14" s="79" customFormat="1">
      <c r="A39" s="79">
        <v>38</v>
      </c>
      <c r="B39" s="202" t="s">
        <v>214</v>
      </c>
      <c r="C39" s="79" t="s">
        <v>39</v>
      </c>
      <c r="D39" s="202" t="s">
        <v>215</v>
      </c>
      <c r="E39">
        <v>0</v>
      </c>
      <c r="F39">
        <v>0</v>
      </c>
      <c r="G39" s="80">
        <v>5</v>
      </c>
      <c r="H39" s="80">
        <v>100</v>
      </c>
      <c r="I39" s="80">
        <v>8</v>
      </c>
      <c r="J39" s="81">
        <v>1</v>
      </c>
      <c r="K39" s="81">
        <v>12</v>
      </c>
      <c r="L39" s="82">
        <v>0</v>
      </c>
      <c r="M39" s="83" t="str">
        <f t="shared" ref="M39" si="13">LOWER(SUBSTITUTE(TRIM(B39)," ",""))</f>
        <v>clay</v>
      </c>
      <c r="N39" s="172">
        <f>_xlfn.IFNA(INDEX(ZConfig!$C$4:$C$20,MATCH(C39,ZConfig!$B$4:$B$20,0)),"")</f>
        <v>3</v>
      </c>
    </row>
    <row r="40" spans="1:14" s="79" customFormat="1">
      <c r="A40" s="79">
        <v>39</v>
      </c>
      <c r="B40" s="202" t="s">
        <v>195</v>
      </c>
      <c r="C40" s="79" t="s">
        <v>152</v>
      </c>
      <c r="D40" s="202" t="s">
        <v>204</v>
      </c>
      <c r="E40">
        <v>0</v>
      </c>
      <c r="F40">
        <v>0</v>
      </c>
      <c r="G40" s="80">
        <v>5</v>
      </c>
      <c r="H40" s="80">
        <v>100</v>
      </c>
      <c r="I40" s="80">
        <v>8</v>
      </c>
      <c r="J40" s="81">
        <v>1</v>
      </c>
      <c r="K40" s="81">
        <v>12</v>
      </c>
      <c r="L40" s="82">
        <v>0</v>
      </c>
      <c r="M40" s="83" t="str">
        <f t="shared" si="9"/>
        <v>coal</v>
      </c>
      <c r="N40" s="172">
        <f>_xlfn.IFNA(INDEX(ZConfig!$C$4:$C$20,MATCH(C40,ZConfig!$B$4:$B$20,0)),"")</f>
        <v>5</v>
      </c>
    </row>
    <row r="41" spans="1:14" s="79" customFormat="1">
      <c r="A41" s="79">
        <v>40</v>
      </c>
      <c r="B41" s="202" t="s">
        <v>196</v>
      </c>
      <c r="C41" s="79" t="s">
        <v>152</v>
      </c>
      <c r="D41" s="202" t="s">
        <v>204</v>
      </c>
      <c r="E41">
        <v>0</v>
      </c>
      <c r="F41">
        <v>0</v>
      </c>
      <c r="G41" s="80">
        <v>5</v>
      </c>
      <c r="H41" s="80">
        <v>100</v>
      </c>
      <c r="I41" s="80">
        <v>8</v>
      </c>
      <c r="J41" s="81">
        <v>1</v>
      </c>
      <c r="K41" s="81">
        <v>12</v>
      </c>
      <c r="L41" s="82">
        <v>0</v>
      </c>
      <c r="M41" s="83" t="str">
        <f t="shared" si="9"/>
        <v>copperore</v>
      </c>
      <c r="N41" s="172">
        <f>_xlfn.IFNA(INDEX(ZConfig!$C$4:$C$20,MATCH(C41,ZConfig!$B$4:$B$20,0)),"")</f>
        <v>5</v>
      </c>
    </row>
    <row r="42" spans="1:14" s="79" customFormat="1">
      <c r="A42" s="79">
        <v>41</v>
      </c>
      <c r="B42" s="202" t="s">
        <v>197</v>
      </c>
      <c r="C42" s="79" t="s">
        <v>152</v>
      </c>
      <c r="D42" s="202" t="s">
        <v>204</v>
      </c>
      <c r="E42">
        <v>0</v>
      </c>
      <c r="F42">
        <v>0</v>
      </c>
      <c r="G42" s="80">
        <v>5</v>
      </c>
      <c r="H42" s="80">
        <v>100</v>
      </c>
      <c r="I42" s="80">
        <v>8</v>
      </c>
      <c r="J42" s="81">
        <v>10</v>
      </c>
      <c r="K42" s="81">
        <v>12</v>
      </c>
      <c r="L42" s="82">
        <v>0</v>
      </c>
      <c r="M42" s="83" t="str">
        <f t="shared" si="9"/>
        <v>copperbar</v>
      </c>
      <c r="N42" s="172">
        <f>_xlfn.IFNA(INDEX(ZConfig!$C$4:$C$20,MATCH(C42,ZConfig!$B$4:$B$20,0)),"")</f>
        <v>5</v>
      </c>
    </row>
    <row r="43" spans="1:14" s="79" customFormat="1">
      <c r="A43" s="79">
        <v>42</v>
      </c>
      <c r="B43" s="202" t="s">
        <v>198</v>
      </c>
      <c r="C43" s="79" t="s">
        <v>152</v>
      </c>
      <c r="D43" s="202" t="s">
        <v>204</v>
      </c>
      <c r="E43">
        <v>0</v>
      </c>
      <c r="F43">
        <v>0</v>
      </c>
      <c r="G43" s="80">
        <v>5</v>
      </c>
      <c r="H43" s="80">
        <v>100</v>
      </c>
      <c r="I43" s="80">
        <v>8</v>
      </c>
      <c r="J43" s="81">
        <v>1</v>
      </c>
      <c r="K43" s="81">
        <v>12</v>
      </c>
      <c r="L43" s="82">
        <v>0</v>
      </c>
      <c r="M43" s="83" t="str">
        <f t="shared" si="9"/>
        <v>ironore</v>
      </c>
      <c r="N43" s="172">
        <f>_xlfn.IFNA(INDEX(ZConfig!$C$4:$C$20,MATCH(C43,ZConfig!$B$4:$B$20,0)),"")</f>
        <v>5</v>
      </c>
    </row>
    <row r="44" spans="1:14" s="79" customFormat="1">
      <c r="A44" s="79">
        <v>43</v>
      </c>
      <c r="B44" s="202" t="s">
        <v>199</v>
      </c>
      <c r="C44" s="79" t="s">
        <v>152</v>
      </c>
      <c r="D44" s="202" t="s">
        <v>204</v>
      </c>
      <c r="E44">
        <v>0</v>
      </c>
      <c r="F44">
        <v>0</v>
      </c>
      <c r="G44" s="80">
        <v>5</v>
      </c>
      <c r="H44" s="80">
        <v>100</v>
      </c>
      <c r="I44" s="80">
        <v>8</v>
      </c>
      <c r="J44" s="81">
        <v>15</v>
      </c>
      <c r="K44" s="81">
        <v>12</v>
      </c>
      <c r="L44" s="82">
        <v>0</v>
      </c>
      <c r="M44" s="83" t="str">
        <f t="shared" si="9"/>
        <v>ironbar</v>
      </c>
      <c r="N44" s="172">
        <f>_xlfn.IFNA(INDEX(ZConfig!$C$4:$C$20,MATCH(C44,ZConfig!$B$4:$B$20,0)),"")</f>
        <v>5</v>
      </c>
    </row>
    <row r="45" spans="1:14" s="79" customFormat="1">
      <c r="A45" s="79">
        <v>44</v>
      </c>
      <c r="B45" s="202" t="s">
        <v>200</v>
      </c>
      <c r="C45" s="79" t="s">
        <v>152</v>
      </c>
      <c r="D45" s="202" t="s">
        <v>204</v>
      </c>
      <c r="E45">
        <v>0</v>
      </c>
      <c r="F45">
        <v>0</v>
      </c>
      <c r="G45" s="80">
        <v>5</v>
      </c>
      <c r="H45" s="80">
        <v>100</v>
      </c>
      <c r="I45" s="80">
        <v>8</v>
      </c>
      <c r="J45" s="81">
        <v>1</v>
      </c>
      <c r="K45" s="81">
        <v>12</v>
      </c>
      <c r="L45" s="82">
        <v>0</v>
      </c>
      <c r="M45" s="83" t="str">
        <f t="shared" si="9"/>
        <v>silverore</v>
      </c>
      <c r="N45" s="172">
        <f>_xlfn.IFNA(INDEX(ZConfig!$C$4:$C$20,MATCH(C45,ZConfig!$B$4:$B$20,0)),"")</f>
        <v>5</v>
      </c>
    </row>
    <row r="46" spans="1:14" s="79" customFormat="1">
      <c r="A46" s="79">
        <v>45</v>
      </c>
      <c r="B46" s="202" t="s">
        <v>203</v>
      </c>
      <c r="C46" s="79" t="s">
        <v>152</v>
      </c>
      <c r="D46" s="202" t="s">
        <v>204</v>
      </c>
      <c r="E46">
        <v>0</v>
      </c>
      <c r="F46">
        <v>0</v>
      </c>
      <c r="G46" s="80">
        <v>5</v>
      </c>
      <c r="H46" s="80">
        <v>100</v>
      </c>
      <c r="I46" s="80">
        <v>8</v>
      </c>
      <c r="J46" s="81">
        <v>20</v>
      </c>
      <c r="K46" s="81">
        <v>12</v>
      </c>
      <c r="L46" s="82">
        <v>0</v>
      </c>
      <c r="M46" s="83" t="str">
        <f t="shared" si="9"/>
        <v>silverbar</v>
      </c>
      <c r="N46" s="172">
        <f>_xlfn.IFNA(INDEX(ZConfig!$C$4:$C$20,MATCH(C46,ZConfig!$B$4:$B$20,0)),"")</f>
        <v>5</v>
      </c>
    </row>
    <row r="47" spans="1:14" s="79" customFormat="1">
      <c r="A47" s="79">
        <v>46</v>
      </c>
      <c r="B47" s="202" t="s">
        <v>201</v>
      </c>
      <c r="C47" s="79" t="s">
        <v>152</v>
      </c>
      <c r="D47" s="202" t="s">
        <v>204</v>
      </c>
      <c r="E47">
        <v>0</v>
      </c>
      <c r="F47">
        <v>0</v>
      </c>
      <c r="G47" s="80">
        <v>5</v>
      </c>
      <c r="H47" s="80">
        <v>100</v>
      </c>
      <c r="I47" s="80">
        <v>8</v>
      </c>
      <c r="J47" s="81">
        <v>1</v>
      </c>
      <c r="K47" s="81">
        <v>12</v>
      </c>
      <c r="L47" s="82">
        <v>0</v>
      </c>
      <c r="M47" s="83" t="str">
        <f t="shared" si="9"/>
        <v>goldore</v>
      </c>
      <c r="N47" s="172">
        <f>_xlfn.IFNA(INDEX(ZConfig!$C$4:$C$20,MATCH(C47,ZConfig!$B$4:$B$20,0)),"")</f>
        <v>5</v>
      </c>
    </row>
    <row r="48" spans="1:14" s="79" customFormat="1">
      <c r="A48" s="79">
        <v>47</v>
      </c>
      <c r="B48" s="202" t="s">
        <v>202</v>
      </c>
      <c r="C48" s="79" t="s">
        <v>152</v>
      </c>
      <c r="D48" s="202" t="s">
        <v>204</v>
      </c>
      <c r="E48">
        <v>0</v>
      </c>
      <c r="F48">
        <v>0</v>
      </c>
      <c r="G48" s="80">
        <v>5</v>
      </c>
      <c r="H48" s="80">
        <v>100</v>
      </c>
      <c r="I48" s="80">
        <v>8</v>
      </c>
      <c r="J48" s="81">
        <v>25</v>
      </c>
      <c r="K48" s="81">
        <v>12</v>
      </c>
      <c r="L48" s="82">
        <v>0</v>
      </c>
      <c r="M48" s="83" t="str">
        <f t="shared" si="9"/>
        <v>goldbar</v>
      </c>
      <c r="N48" s="172">
        <f>_xlfn.IFNA(INDEX(ZConfig!$C$4:$C$20,MATCH(C48,ZConfig!$B$4:$B$20,0)),"")</f>
        <v>5</v>
      </c>
    </row>
    <row r="49" spans="1:14">
      <c r="A49" s="79">
        <v>48</v>
      </c>
      <c r="B49" s="202" t="s">
        <v>210</v>
      </c>
      <c r="C49" s="79" t="s">
        <v>152</v>
      </c>
      <c r="D49" s="202" t="s">
        <v>204</v>
      </c>
      <c r="E49">
        <v>0</v>
      </c>
      <c r="F49">
        <v>0</v>
      </c>
      <c r="G49" s="80">
        <v>1</v>
      </c>
      <c r="H49" s="80">
        <v>100</v>
      </c>
      <c r="I49" s="80">
        <v>0</v>
      </c>
      <c r="J49" s="81">
        <v>1</v>
      </c>
      <c r="K49" s="81">
        <v>0</v>
      </c>
      <c r="L49" s="82">
        <v>0</v>
      </c>
      <c r="M49" s="83" t="str">
        <f t="shared" ref="M49:M55" si="14">LOWER(SUBSTITUTE(TRIM(B49)," ",""))</f>
        <v>gem</v>
      </c>
      <c r="N49" s="172">
        <f>_xlfn.IFNA(INDEX(ZConfig!$C$4:$C$20,MATCH(C49,ZConfig!$B$4:$B$20,0)),"")</f>
        <v>5</v>
      </c>
    </row>
    <row r="50" spans="1:14" s="79" customFormat="1">
      <c r="A50" s="79">
        <v>49</v>
      </c>
      <c r="B50" s="202" t="s">
        <v>220</v>
      </c>
      <c r="C50" s="79" t="s">
        <v>152</v>
      </c>
      <c r="D50" s="202" t="s">
        <v>204</v>
      </c>
      <c r="E50">
        <v>0</v>
      </c>
      <c r="F50">
        <v>0</v>
      </c>
      <c r="G50" s="80">
        <v>25</v>
      </c>
      <c r="H50" s="80">
        <v>150</v>
      </c>
      <c r="I50" s="80">
        <v>8</v>
      </c>
      <c r="J50" s="81">
        <v>1</v>
      </c>
      <c r="K50" s="81">
        <v>12</v>
      </c>
      <c r="L50" s="82">
        <v>0</v>
      </c>
      <c r="M50" s="83" t="str">
        <f t="shared" si="14"/>
        <v>diamond</v>
      </c>
      <c r="N50" s="172">
        <f>_xlfn.IFNA(INDEX(ZConfig!$C$4:$C$20,MATCH(C50,ZConfig!$B$4:$B$20,0)),"")</f>
        <v>5</v>
      </c>
    </row>
    <row r="51" spans="1:14" s="79" customFormat="1">
      <c r="A51" s="79">
        <v>50</v>
      </c>
      <c r="B51" s="202" t="s">
        <v>217</v>
      </c>
      <c r="C51" s="79" t="s">
        <v>152</v>
      </c>
      <c r="D51" s="202" t="s">
        <v>204</v>
      </c>
      <c r="E51">
        <v>0</v>
      </c>
      <c r="F51">
        <v>0</v>
      </c>
      <c r="G51" s="80">
        <v>25</v>
      </c>
      <c r="H51" s="80">
        <v>150</v>
      </c>
      <c r="I51" s="80">
        <v>8</v>
      </c>
      <c r="J51" s="81">
        <v>1</v>
      </c>
      <c r="K51" s="81">
        <v>12</v>
      </c>
      <c r="L51" s="82">
        <v>0</v>
      </c>
      <c r="M51" s="83" t="str">
        <f t="shared" si="14"/>
        <v>quartz</v>
      </c>
      <c r="N51" s="172">
        <f>_xlfn.IFNA(INDEX(ZConfig!$C$4:$C$20,MATCH(C51,ZConfig!$B$4:$B$20,0)),"")</f>
        <v>5</v>
      </c>
    </row>
    <row r="52" spans="1:14" s="79" customFormat="1">
      <c r="A52" s="79">
        <v>51</v>
      </c>
      <c r="B52" s="202" t="s">
        <v>184</v>
      </c>
      <c r="C52" s="79" t="s">
        <v>152</v>
      </c>
      <c r="D52" s="202" t="s">
        <v>204</v>
      </c>
      <c r="E52">
        <v>0</v>
      </c>
      <c r="F52">
        <v>0</v>
      </c>
      <c r="G52" s="80">
        <v>25</v>
      </c>
      <c r="H52" s="80">
        <v>150</v>
      </c>
      <c r="I52" s="80">
        <v>8</v>
      </c>
      <c r="J52" s="81">
        <v>1</v>
      </c>
      <c r="K52" s="81">
        <v>12</v>
      </c>
      <c r="L52" s="82">
        <v>0</v>
      </c>
      <c r="M52" s="83" t="str">
        <f t="shared" si="14"/>
        <v>emerald</v>
      </c>
      <c r="N52" s="172">
        <f>_xlfn.IFNA(INDEX(ZConfig!$C$4:$C$20,MATCH(C52,ZConfig!$B$4:$B$20,0)),"")</f>
        <v>5</v>
      </c>
    </row>
    <row r="53" spans="1:14" s="79" customFormat="1">
      <c r="A53" s="79">
        <v>52</v>
      </c>
      <c r="B53" s="202" t="s">
        <v>185</v>
      </c>
      <c r="C53" s="79" t="s">
        <v>152</v>
      </c>
      <c r="D53" s="202" t="s">
        <v>204</v>
      </c>
      <c r="E53">
        <v>0</v>
      </c>
      <c r="F53">
        <v>0</v>
      </c>
      <c r="G53" s="80">
        <v>25</v>
      </c>
      <c r="H53" s="80">
        <v>150</v>
      </c>
      <c r="I53" s="80">
        <v>8</v>
      </c>
      <c r="J53" s="81">
        <v>1</v>
      </c>
      <c r="K53" s="81">
        <v>12</v>
      </c>
      <c r="L53" s="82">
        <v>0</v>
      </c>
      <c r="M53" s="83" t="str">
        <f t="shared" si="14"/>
        <v>sapphire</v>
      </c>
      <c r="N53" s="172">
        <f>_xlfn.IFNA(INDEX(ZConfig!$C$4:$C$20,MATCH(C53,ZConfig!$B$4:$B$20,0)),"")</f>
        <v>5</v>
      </c>
    </row>
    <row r="54" spans="1:14" s="79" customFormat="1">
      <c r="A54" s="79">
        <v>53</v>
      </c>
      <c r="B54" s="202" t="s">
        <v>186</v>
      </c>
      <c r="C54" s="79" t="s">
        <v>152</v>
      </c>
      <c r="D54" s="202" t="s">
        <v>204</v>
      </c>
      <c r="E54">
        <v>0</v>
      </c>
      <c r="F54">
        <v>0</v>
      </c>
      <c r="G54" s="80">
        <v>25</v>
      </c>
      <c r="H54" s="80">
        <v>150</v>
      </c>
      <c r="I54" s="80">
        <v>8</v>
      </c>
      <c r="J54" s="81">
        <v>1</v>
      </c>
      <c r="K54" s="81">
        <v>12</v>
      </c>
      <c r="L54" s="82">
        <v>0</v>
      </c>
      <c r="M54" s="83" t="str">
        <f t="shared" si="14"/>
        <v>ruby</v>
      </c>
      <c r="N54" s="172">
        <f>_xlfn.IFNA(INDEX(ZConfig!$C$4:$C$20,MATCH(C54,ZConfig!$B$4:$B$20,0)),"")</f>
        <v>5</v>
      </c>
    </row>
    <row r="55" spans="1:14" s="79" customFormat="1">
      <c r="A55" s="79">
        <v>54</v>
      </c>
      <c r="B55" s="202" t="s">
        <v>187</v>
      </c>
      <c r="C55" s="79" t="s">
        <v>152</v>
      </c>
      <c r="D55" s="202" t="s">
        <v>204</v>
      </c>
      <c r="E55">
        <v>0</v>
      </c>
      <c r="F55">
        <v>0</v>
      </c>
      <c r="G55" s="80">
        <v>25</v>
      </c>
      <c r="H55" s="80">
        <v>150</v>
      </c>
      <c r="I55" s="80">
        <v>8</v>
      </c>
      <c r="J55" s="81">
        <v>1</v>
      </c>
      <c r="K55" s="81">
        <v>12</v>
      </c>
      <c r="L55" s="82">
        <v>0</v>
      </c>
      <c r="M55" s="83" t="str">
        <f t="shared" si="14"/>
        <v>amethyst</v>
      </c>
      <c r="N55" s="172">
        <f>_xlfn.IFNA(INDEX(ZConfig!$C$4:$C$20,MATCH(C55,ZConfig!$B$4:$B$20,0)),"")</f>
        <v>5</v>
      </c>
    </row>
    <row r="56" spans="1:14">
      <c r="A56" s="79">
        <v>55</v>
      </c>
      <c r="B56" s="202" t="s">
        <v>218</v>
      </c>
      <c r="C56" s="79" t="s">
        <v>152</v>
      </c>
      <c r="D56" s="202" t="s">
        <v>204</v>
      </c>
      <c r="E56">
        <v>0</v>
      </c>
      <c r="F56">
        <v>0</v>
      </c>
      <c r="G56" s="80">
        <v>25</v>
      </c>
      <c r="H56" s="80">
        <v>150</v>
      </c>
      <c r="I56" s="80">
        <v>9</v>
      </c>
      <c r="J56" s="81">
        <v>1</v>
      </c>
      <c r="K56" s="81">
        <v>12</v>
      </c>
      <c r="L56" s="82">
        <v>0</v>
      </c>
      <c r="M56" s="83" t="str">
        <f t="shared" ref="M56:M57" si="15">LOWER(SUBSTITUTE(TRIM(B56)," ",""))</f>
        <v>crystal</v>
      </c>
      <c r="N56" s="172">
        <f>_xlfn.IFNA(INDEX(ZConfig!$C$4:$C$20,MATCH(C56,ZConfig!$B$4:$B$20,0)),"")</f>
        <v>5</v>
      </c>
    </row>
    <row r="57" spans="1:14" s="85" customFormat="1">
      <c r="A57" s="85">
        <v>56</v>
      </c>
      <c r="B57" s="290" t="s">
        <v>309</v>
      </c>
      <c r="C57" s="85" t="s">
        <v>39</v>
      </c>
      <c r="D57" s="290" t="s">
        <v>310</v>
      </c>
      <c r="E57">
        <v>0</v>
      </c>
      <c r="F57">
        <v>0</v>
      </c>
      <c r="G57" s="291">
        <v>1</v>
      </c>
      <c r="H57" s="291">
        <v>1</v>
      </c>
      <c r="I57" s="291">
        <v>0</v>
      </c>
      <c r="J57" s="291">
        <v>1</v>
      </c>
      <c r="K57" s="291">
        <v>0</v>
      </c>
      <c r="L57" s="291">
        <v>0</v>
      </c>
      <c r="M57" s="85" t="str">
        <f t="shared" si="15"/>
        <v>fishbones</v>
      </c>
      <c r="N57" s="172">
        <f>_xlfn.IFNA(INDEX(ZConfig!$C$4:$C$20,MATCH(C57,ZConfig!$B$4:$B$20,0)),"")</f>
        <v>3</v>
      </c>
    </row>
    <row r="58" spans="1:14" s="85" customFormat="1">
      <c r="A58" s="85">
        <v>57</v>
      </c>
      <c r="B58" s="290" t="s">
        <v>311</v>
      </c>
      <c r="C58" s="85" t="s">
        <v>39</v>
      </c>
      <c r="D58" s="290" t="s">
        <v>310</v>
      </c>
      <c r="E58">
        <v>0</v>
      </c>
      <c r="F58">
        <v>0</v>
      </c>
      <c r="G58" s="291">
        <v>1</v>
      </c>
      <c r="H58" s="291">
        <v>1</v>
      </c>
      <c r="I58" s="291">
        <v>0</v>
      </c>
      <c r="J58" s="291">
        <v>1</v>
      </c>
      <c r="K58" s="291">
        <v>0</v>
      </c>
      <c r="L58" s="291">
        <v>0</v>
      </c>
      <c r="M58" s="85" t="str">
        <f t="shared" ref="M58" si="16">LOWER(SUBSTITUTE(TRIM(B58)," ",""))</f>
        <v>emptycan</v>
      </c>
      <c r="N58" s="172">
        <f>_xlfn.IFNA(INDEX(ZConfig!$C$4:$C$20,MATCH(C58,ZConfig!$B$4:$B$20,0)),"")</f>
        <v>3</v>
      </c>
    </row>
    <row r="59" spans="1:14" s="85" customFormat="1">
      <c r="A59" s="85">
        <v>58</v>
      </c>
      <c r="B59" s="85" t="s">
        <v>294</v>
      </c>
      <c r="C59" s="85" t="s">
        <v>47</v>
      </c>
      <c r="D59" s="289" t="s">
        <v>275</v>
      </c>
      <c r="E59">
        <v>6</v>
      </c>
      <c r="F59">
        <v>2</v>
      </c>
      <c r="G59" s="87">
        <v>10</v>
      </c>
      <c r="H59" s="87">
        <v>70</v>
      </c>
      <c r="I59" s="87">
        <v>10</v>
      </c>
      <c r="J59" s="88">
        <v>1</v>
      </c>
      <c r="K59" s="88">
        <v>12</v>
      </c>
      <c r="L59" s="89">
        <v>0</v>
      </c>
      <c r="M59" s="90" t="str">
        <f t="shared" ref="M59" si="17">LOWER(SUBSTITUTE(TRIM(B59)," ",""))</f>
        <v>bluecatfish</v>
      </c>
      <c r="N59" s="172">
        <f>_xlfn.IFNA(INDEX(ZConfig!$C$4:$C$20,MATCH(C59,ZConfig!$B$4:$B$20,0)),"")</f>
        <v>4</v>
      </c>
    </row>
    <row r="60" spans="1:14" s="85" customFormat="1">
      <c r="A60" s="85">
        <v>59</v>
      </c>
      <c r="B60" s="85" t="s">
        <v>279</v>
      </c>
      <c r="C60" s="85" t="s">
        <v>47</v>
      </c>
      <c r="D60" s="289" t="s">
        <v>275</v>
      </c>
      <c r="E60">
        <v>6</v>
      </c>
      <c r="F60">
        <v>2</v>
      </c>
      <c r="G60" s="87">
        <v>10</v>
      </c>
      <c r="H60" s="87">
        <v>70</v>
      </c>
      <c r="I60" s="87">
        <v>10</v>
      </c>
      <c r="J60" s="88">
        <v>1</v>
      </c>
      <c r="K60" s="88">
        <v>12</v>
      </c>
      <c r="L60" s="89">
        <v>0</v>
      </c>
      <c r="M60" s="90" t="str">
        <f t="shared" ref="M60:M84" si="18">LOWER(SUBSTITUTE(TRIM(B60)," ",""))</f>
        <v>bream</v>
      </c>
      <c r="N60" s="172">
        <f>_xlfn.IFNA(INDEX(ZConfig!$C$4:$C$20,MATCH(C60,ZConfig!$B$4:$B$20,0)),"")</f>
        <v>4</v>
      </c>
    </row>
    <row r="61" spans="1:14" s="85" customFormat="1">
      <c r="A61" s="85">
        <v>60</v>
      </c>
      <c r="B61" s="85" t="s">
        <v>295</v>
      </c>
      <c r="C61" s="85" t="s">
        <v>47</v>
      </c>
      <c r="D61" s="289" t="s">
        <v>275</v>
      </c>
      <c r="E61">
        <v>6</v>
      </c>
      <c r="F61">
        <v>2</v>
      </c>
      <c r="G61" s="87">
        <v>10</v>
      </c>
      <c r="H61" s="87">
        <v>70</v>
      </c>
      <c r="I61" s="87">
        <v>10</v>
      </c>
      <c r="J61" s="88">
        <v>1</v>
      </c>
      <c r="K61" s="88">
        <v>12</v>
      </c>
      <c r="L61" s="89">
        <v>0</v>
      </c>
      <c r="M61" s="90" t="str">
        <f t="shared" si="18"/>
        <v>browntrout</v>
      </c>
      <c r="N61" s="172">
        <f>_xlfn.IFNA(INDEX(ZConfig!$C$4:$C$20,MATCH(C61,ZConfig!$B$4:$B$20,0)),"")</f>
        <v>4</v>
      </c>
    </row>
    <row r="62" spans="1:14" s="85" customFormat="1">
      <c r="A62" s="85">
        <v>61</v>
      </c>
      <c r="B62" s="85" t="s">
        <v>305</v>
      </c>
      <c r="C62" s="85" t="s">
        <v>47</v>
      </c>
      <c r="D62" s="289" t="s">
        <v>275</v>
      </c>
      <c r="E62">
        <v>6</v>
      </c>
      <c r="F62">
        <v>2</v>
      </c>
      <c r="G62" s="87">
        <v>10</v>
      </c>
      <c r="H62" s="87">
        <v>70</v>
      </c>
      <c r="I62" s="87">
        <v>10</v>
      </c>
      <c r="J62" s="88">
        <v>1</v>
      </c>
      <c r="K62" s="88">
        <v>12</v>
      </c>
      <c r="L62" s="89">
        <v>0</v>
      </c>
      <c r="M62" s="90" t="str">
        <f t="shared" si="18"/>
        <v>bigheadcarp</v>
      </c>
      <c r="N62" s="172">
        <f>_xlfn.IFNA(INDEX(ZConfig!$C$4:$C$20,MATCH(C62,ZConfig!$B$4:$B$20,0)),"")</f>
        <v>4</v>
      </c>
    </row>
    <row r="63" spans="1:14" s="85" customFormat="1">
      <c r="A63" s="85">
        <v>62</v>
      </c>
      <c r="B63" s="85" t="s">
        <v>280</v>
      </c>
      <c r="C63" s="85" t="s">
        <v>47</v>
      </c>
      <c r="D63" s="289" t="s">
        <v>275</v>
      </c>
      <c r="E63">
        <v>6</v>
      </c>
      <c r="F63">
        <v>2</v>
      </c>
      <c r="G63" s="87">
        <v>10</v>
      </c>
      <c r="H63" s="87">
        <v>70</v>
      </c>
      <c r="I63" s="87">
        <v>10</v>
      </c>
      <c r="J63" s="88">
        <v>1</v>
      </c>
      <c r="K63" s="88">
        <v>12</v>
      </c>
      <c r="L63" s="89">
        <v>0</v>
      </c>
      <c r="M63" s="90" t="str">
        <f t="shared" si="18"/>
        <v>crayfish</v>
      </c>
      <c r="N63" s="172">
        <f>_xlfn.IFNA(INDEX(ZConfig!$C$4:$C$20,MATCH(C63,ZConfig!$B$4:$B$20,0)),"")</f>
        <v>4</v>
      </c>
    </row>
    <row r="64" spans="1:14" s="85" customFormat="1">
      <c r="A64" s="85">
        <v>63</v>
      </c>
      <c r="B64" s="85" t="s">
        <v>296</v>
      </c>
      <c r="C64" s="85" t="s">
        <v>47</v>
      </c>
      <c r="D64" s="289" t="s">
        <v>275</v>
      </c>
      <c r="E64">
        <v>6</v>
      </c>
      <c r="F64">
        <v>2</v>
      </c>
      <c r="G64" s="87">
        <v>10</v>
      </c>
      <c r="H64" s="87">
        <v>70</v>
      </c>
      <c r="I64" s="87">
        <v>10</v>
      </c>
      <c r="J64" s="88">
        <v>1</v>
      </c>
      <c r="K64" s="88">
        <v>12</v>
      </c>
      <c r="L64" s="89">
        <v>0</v>
      </c>
      <c r="M64" s="90" t="str">
        <f t="shared" si="18"/>
        <v>creekchub</v>
      </c>
      <c r="N64" s="172">
        <f>_xlfn.IFNA(INDEX(ZConfig!$C$4:$C$20,MATCH(C64,ZConfig!$B$4:$B$20,0)),"")</f>
        <v>4</v>
      </c>
    </row>
    <row r="65" spans="1:14" s="85" customFormat="1">
      <c r="A65" s="85">
        <v>64</v>
      </c>
      <c r="B65" s="85" t="s">
        <v>281</v>
      </c>
      <c r="C65" s="85" t="s">
        <v>47</v>
      </c>
      <c r="D65" s="289" t="s">
        <v>275</v>
      </c>
      <c r="E65">
        <v>6</v>
      </c>
      <c r="F65">
        <v>2</v>
      </c>
      <c r="G65" s="87">
        <v>10</v>
      </c>
      <c r="H65" s="87">
        <v>70</v>
      </c>
      <c r="I65" s="87">
        <v>10</v>
      </c>
      <c r="J65" s="88">
        <v>1</v>
      </c>
      <c r="K65" s="88">
        <v>12</v>
      </c>
      <c r="L65" s="89">
        <v>0</v>
      </c>
      <c r="M65" s="90" t="str">
        <f t="shared" si="18"/>
        <v>ghostfish</v>
      </c>
      <c r="N65" s="172">
        <f>_xlfn.IFNA(INDEX(ZConfig!$C$4:$C$20,MATCH(C65,ZConfig!$B$4:$B$20,0)),"")</f>
        <v>4</v>
      </c>
    </row>
    <row r="66" spans="1:14" s="85" customFormat="1">
      <c r="A66" s="85">
        <v>65</v>
      </c>
      <c r="B66" s="85" t="s">
        <v>282</v>
      </c>
      <c r="C66" s="85" t="s">
        <v>47</v>
      </c>
      <c r="D66" s="289" t="s">
        <v>275</v>
      </c>
      <c r="E66">
        <v>6</v>
      </c>
      <c r="F66">
        <v>2</v>
      </c>
      <c r="G66" s="87">
        <v>10</v>
      </c>
      <c r="H66" s="87">
        <v>70</v>
      </c>
      <c r="I66" s="87">
        <v>10</v>
      </c>
      <c r="J66" s="88">
        <v>1</v>
      </c>
      <c r="K66" s="88">
        <v>12</v>
      </c>
      <c r="L66" s="89">
        <v>0</v>
      </c>
      <c r="M66" s="90" t="str">
        <f t="shared" si="18"/>
        <v>glowfish</v>
      </c>
      <c r="N66" s="172">
        <f>_xlfn.IFNA(INDEX(ZConfig!$C$4:$C$20,MATCH(C66,ZConfig!$B$4:$B$20,0)),"")</f>
        <v>4</v>
      </c>
    </row>
    <row r="67" spans="1:14" s="85" customFormat="1">
      <c r="A67" s="85">
        <v>66</v>
      </c>
      <c r="B67" s="85" t="s">
        <v>297</v>
      </c>
      <c r="C67" s="85" t="s">
        <v>47</v>
      </c>
      <c r="D67" s="289" t="s">
        <v>275</v>
      </c>
      <c r="E67">
        <v>6</v>
      </c>
      <c r="F67">
        <v>2</v>
      </c>
      <c r="G67" s="87">
        <v>10</v>
      </c>
      <c r="H67" s="87">
        <v>70</v>
      </c>
      <c r="I67" s="87">
        <v>10</v>
      </c>
      <c r="J67" s="88">
        <v>1</v>
      </c>
      <c r="K67" s="88">
        <v>12</v>
      </c>
      <c r="L67" s="89">
        <v>0</v>
      </c>
      <c r="M67" s="90" t="str">
        <f t="shared" si="18"/>
        <v>goldentrout</v>
      </c>
      <c r="N67" s="172">
        <f>_xlfn.IFNA(INDEX(ZConfig!$C$4:$C$20,MATCH(C67,ZConfig!$B$4:$B$20,0)),"")</f>
        <v>4</v>
      </c>
    </row>
    <row r="68" spans="1:14" s="85" customFormat="1">
      <c r="A68" s="85">
        <v>67</v>
      </c>
      <c r="B68" s="85" t="s">
        <v>283</v>
      </c>
      <c r="C68" s="85" t="s">
        <v>47</v>
      </c>
      <c r="D68" s="289" t="s">
        <v>275</v>
      </c>
      <c r="E68">
        <v>6</v>
      </c>
      <c r="F68">
        <v>2</v>
      </c>
      <c r="G68" s="87">
        <v>10</v>
      </c>
      <c r="H68" s="87">
        <v>70</v>
      </c>
      <c r="I68" s="87">
        <v>10</v>
      </c>
      <c r="J68" s="88">
        <v>1</v>
      </c>
      <c r="K68" s="88">
        <v>12</v>
      </c>
      <c r="L68" s="89">
        <v>0</v>
      </c>
      <c r="M68" s="90" t="str">
        <f t="shared" si="18"/>
        <v>goldfish</v>
      </c>
      <c r="N68" s="172">
        <f>_xlfn.IFNA(INDEX(ZConfig!$C$4:$C$20,MATCH(C68,ZConfig!$B$4:$B$20,0)),"")</f>
        <v>4</v>
      </c>
    </row>
    <row r="69" spans="1:14" s="85" customFormat="1">
      <c r="A69" s="85">
        <v>68</v>
      </c>
      <c r="B69" s="85" t="s">
        <v>298</v>
      </c>
      <c r="C69" s="85" t="s">
        <v>47</v>
      </c>
      <c r="D69" s="289" t="s">
        <v>275</v>
      </c>
      <c r="E69">
        <v>6</v>
      </c>
      <c r="F69">
        <v>2</v>
      </c>
      <c r="G69" s="87">
        <v>10</v>
      </c>
      <c r="H69" s="87">
        <v>70</v>
      </c>
      <c r="I69" s="87">
        <v>10</v>
      </c>
      <c r="J69" s="88">
        <v>1</v>
      </c>
      <c r="K69" s="88">
        <v>12</v>
      </c>
      <c r="L69" s="89">
        <v>0</v>
      </c>
      <c r="M69" s="90" t="str">
        <f t="shared" si="18"/>
        <v>grasscarp</v>
      </c>
      <c r="N69" s="172">
        <f>_xlfn.IFNA(INDEX(ZConfig!$C$4:$C$20,MATCH(C69,ZConfig!$B$4:$B$20,0)),"")</f>
        <v>4</v>
      </c>
    </row>
    <row r="70" spans="1:14" s="85" customFormat="1">
      <c r="A70" s="85">
        <v>69</v>
      </c>
      <c r="B70" s="85" t="s">
        <v>284</v>
      </c>
      <c r="C70" s="85" t="s">
        <v>47</v>
      </c>
      <c r="D70" s="289" t="s">
        <v>275</v>
      </c>
      <c r="E70">
        <v>6</v>
      </c>
      <c r="F70">
        <v>2</v>
      </c>
      <c r="G70" s="87">
        <v>10</v>
      </c>
      <c r="H70" s="87">
        <v>70</v>
      </c>
      <c r="I70" s="87">
        <v>10</v>
      </c>
      <c r="J70" s="88">
        <v>1</v>
      </c>
      <c r="K70" s="88">
        <v>12</v>
      </c>
      <c r="L70" s="89">
        <v>0</v>
      </c>
      <c r="M70" s="90" t="str">
        <f t="shared" si="18"/>
        <v>greenling</v>
      </c>
      <c r="N70" s="172">
        <f>_xlfn.IFNA(INDEX(ZConfig!$C$4:$C$20,MATCH(C70,ZConfig!$B$4:$B$20,0)),"")</f>
        <v>4</v>
      </c>
    </row>
    <row r="71" spans="1:14" s="85" customFormat="1">
      <c r="A71" s="85">
        <v>70</v>
      </c>
      <c r="B71" s="85" t="s">
        <v>285</v>
      </c>
      <c r="C71" s="85" t="s">
        <v>47</v>
      </c>
      <c r="D71" s="289" t="s">
        <v>275</v>
      </c>
      <c r="E71">
        <v>6</v>
      </c>
      <c r="F71">
        <v>2</v>
      </c>
      <c r="G71" s="87">
        <v>10</v>
      </c>
      <c r="H71" s="87">
        <v>70</v>
      </c>
      <c r="I71" s="87">
        <v>10</v>
      </c>
      <c r="J71" s="88">
        <v>1</v>
      </c>
      <c r="K71" s="88">
        <v>12</v>
      </c>
      <c r="L71" s="89">
        <v>0</v>
      </c>
      <c r="M71" s="90" t="str">
        <f t="shared" si="18"/>
        <v>herring</v>
      </c>
      <c r="N71" s="172">
        <f>_xlfn.IFNA(INDEX(ZConfig!$C$4:$C$20,MATCH(C71,ZConfig!$B$4:$B$20,0)),"")</f>
        <v>4</v>
      </c>
    </row>
    <row r="72" spans="1:14" s="85" customFormat="1">
      <c r="A72" s="85">
        <v>71</v>
      </c>
      <c r="B72" s="85" t="s">
        <v>299</v>
      </c>
      <c r="C72" s="85" t="s">
        <v>47</v>
      </c>
      <c r="D72" s="289" t="s">
        <v>275</v>
      </c>
      <c r="E72">
        <v>6</v>
      </c>
      <c r="F72">
        <v>2</v>
      </c>
      <c r="G72" s="87">
        <v>10</v>
      </c>
      <c r="H72" s="87">
        <v>70</v>
      </c>
      <c r="I72" s="87">
        <v>10</v>
      </c>
      <c r="J72" s="88">
        <v>1</v>
      </c>
      <c r="K72" s="88">
        <v>12</v>
      </c>
      <c r="L72" s="89">
        <v>0</v>
      </c>
      <c r="M72" s="90" t="str">
        <f t="shared" si="18"/>
        <v>northernpike</v>
      </c>
      <c r="N72" s="172">
        <f>_xlfn.IFNA(INDEX(ZConfig!$C$4:$C$20,MATCH(C72,ZConfig!$B$4:$B$20,0)),"")</f>
        <v>4</v>
      </c>
    </row>
    <row r="73" spans="1:14" s="85" customFormat="1">
      <c r="A73" s="85">
        <v>72</v>
      </c>
      <c r="B73" s="85" t="s">
        <v>286</v>
      </c>
      <c r="C73" s="85" t="s">
        <v>47</v>
      </c>
      <c r="D73" s="289" t="s">
        <v>275</v>
      </c>
      <c r="E73">
        <v>6</v>
      </c>
      <c r="F73">
        <v>2</v>
      </c>
      <c r="G73" s="87">
        <v>10</v>
      </c>
      <c r="H73" s="87">
        <v>70</v>
      </c>
      <c r="I73" s="87">
        <v>10</v>
      </c>
      <c r="J73" s="88">
        <v>1</v>
      </c>
      <c r="K73" s="88">
        <v>12</v>
      </c>
      <c r="L73" s="89">
        <v>0</v>
      </c>
      <c r="M73" s="90" t="str">
        <f t="shared" si="18"/>
        <v>perch</v>
      </c>
      <c r="N73" s="172">
        <f>_xlfn.IFNA(INDEX(ZConfig!$C$4:$C$20,MATCH(C73,ZConfig!$B$4:$B$20,0)),"")</f>
        <v>4</v>
      </c>
    </row>
    <row r="74" spans="1:14" s="85" customFormat="1">
      <c r="A74" s="85">
        <v>73</v>
      </c>
      <c r="B74" s="85" t="s">
        <v>300</v>
      </c>
      <c r="C74" s="85" t="s">
        <v>47</v>
      </c>
      <c r="D74" s="289" t="s">
        <v>275</v>
      </c>
      <c r="E74">
        <v>6</v>
      </c>
      <c r="F74">
        <v>2</v>
      </c>
      <c r="G74" s="87">
        <v>10</v>
      </c>
      <c r="H74" s="87">
        <v>70</v>
      </c>
      <c r="I74" s="87">
        <v>10</v>
      </c>
      <c r="J74" s="88">
        <v>1</v>
      </c>
      <c r="K74" s="88">
        <v>12</v>
      </c>
      <c r="L74" s="89">
        <v>0</v>
      </c>
      <c r="M74" s="90" t="str">
        <f t="shared" si="18"/>
        <v>rainbowtrout</v>
      </c>
      <c r="N74" s="172">
        <f>_xlfn.IFNA(INDEX(ZConfig!$C$4:$C$20,MATCH(C74,ZConfig!$B$4:$B$20,0)),"")</f>
        <v>4</v>
      </c>
    </row>
    <row r="75" spans="1:14" s="85" customFormat="1">
      <c r="A75" s="85">
        <v>74</v>
      </c>
      <c r="B75" s="85" t="s">
        <v>301</v>
      </c>
      <c r="C75" s="85" t="s">
        <v>47</v>
      </c>
      <c r="D75" s="289" t="s">
        <v>275</v>
      </c>
      <c r="E75">
        <v>6</v>
      </c>
      <c r="F75">
        <v>2</v>
      </c>
      <c r="G75" s="87">
        <v>10</v>
      </c>
      <c r="H75" s="87">
        <v>70</v>
      </c>
      <c r="I75" s="87">
        <v>10</v>
      </c>
      <c r="J75" s="88">
        <v>1</v>
      </c>
      <c r="K75" s="88">
        <v>12</v>
      </c>
      <c r="L75" s="89">
        <v>0</v>
      </c>
      <c r="M75" s="90" t="str">
        <f t="shared" si="18"/>
        <v>redsnapper</v>
      </c>
      <c r="N75" s="172">
        <f>_xlfn.IFNA(INDEX(ZConfig!$C$4:$C$20,MATCH(C75,ZConfig!$B$4:$B$20,0)),"")</f>
        <v>4</v>
      </c>
    </row>
    <row r="76" spans="1:14" s="85" customFormat="1">
      <c r="A76" s="85">
        <v>75</v>
      </c>
      <c r="B76" s="85" t="s">
        <v>287</v>
      </c>
      <c r="C76" s="85" t="s">
        <v>47</v>
      </c>
      <c r="D76" s="289" t="s">
        <v>275</v>
      </c>
      <c r="E76">
        <v>6</v>
      </c>
      <c r="F76">
        <v>2</v>
      </c>
      <c r="G76" s="87">
        <v>10</v>
      </c>
      <c r="H76" s="87">
        <v>70</v>
      </c>
      <c r="I76" s="87">
        <v>10</v>
      </c>
      <c r="J76" s="88">
        <v>1</v>
      </c>
      <c r="K76" s="88">
        <v>12</v>
      </c>
      <c r="L76" s="89">
        <v>0</v>
      </c>
      <c r="M76" s="90" t="str">
        <f t="shared" si="18"/>
        <v>roach</v>
      </c>
      <c r="N76" s="172">
        <f>_xlfn.IFNA(INDEX(ZConfig!$C$4:$C$20,MATCH(C76,ZConfig!$B$4:$B$20,0)),"")</f>
        <v>4</v>
      </c>
    </row>
    <row r="77" spans="1:14" s="85" customFormat="1">
      <c r="A77" s="85">
        <v>76</v>
      </c>
      <c r="B77" s="85" t="s">
        <v>288</v>
      </c>
      <c r="C77" s="85" t="s">
        <v>47</v>
      </c>
      <c r="D77" s="289" t="s">
        <v>275</v>
      </c>
      <c r="E77">
        <v>6</v>
      </c>
      <c r="F77">
        <v>2</v>
      </c>
      <c r="G77" s="87">
        <v>10</v>
      </c>
      <c r="H77" s="87">
        <v>70</v>
      </c>
      <c r="I77" s="87">
        <v>10</v>
      </c>
      <c r="J77" s="88">
        <v>1</v>
      </c>
      <c r="K77" s="88">
        <v>12</v>
      </c>
      <c r="L77" s="89">
        <v>0</v>
      </c>
      <c r="M77" s="90" t="str">
        <f t="shared" si="18"/>
        <v>salmon</v>
      </c>
      <c r="N77" s="172">
        <f>_xlfn.IFNA(INDEX(ZConfig!$C$4:$C$20,MATCH(C77,ZConfig!$B$4:$B$20,0)),"")</f>
        <v>4</v>
      </c>
    </row>
    <row r="78" spans="1:14" s="85" customFormat="1">
      <c r="A78" s="85">
        <v>77</v>
      </c>
      <c r="B78" s="85" t="s">
        <v>289</v>
      </c>
      <c r="C78" s="85" t="s">
        <v>47</v>
      </c>
      <c r="D78" s="289" t="s">
        <v>275</v>
      </c>
      <c r="E78">
        <v>6</v>
      </c>
      <c r="F78">
        <v>2</v>
      </c>
      <c r="G78" s="87">
        <v>10</v>
      </c>
      <c r="H78" s="87">
        <v>70</v>
      </c>
      <c r="I78" s="87">
        <v>10</v>
      </c>
      <c r="J78" s="88">
        <v>1</v>
      </c>
      <c r="K78" s="88">
        <v>12</v>
      </c>
      <c r="L78" s="89">
        <v>0</v>
      </c>
      <c r="M78" s="90" t="str">
        <f t="shared" si="18"/>
        <v>sardine</v>
      </c>
      <c r="N78" s="172">
        <f>_xlfn.IFNA(INDEX(ZConfig!$C$4:$C$20,MATCH(C78,ZConfig!$B$4:$B$20,0)),"")</f>
        <v>4</v>
      </c>
    </row>
    <row r="79" spans="1:14" s="85" customFormat="1">
      <c r="A79" s="85">
        <v>78</v>
      </c>
      <c r="B79" s="85" t="s">
        <v>290</v>
      </c>
      <c r="C79" s="85" t="s">
        <v>47</v>
      </c>
      <c r="D79" s="289" t="s">
        <v>275</v>
      </c>
      <c r="E79">
        <v>6</v>
      </c>
      <c r="F79">
        <v>2</v>
      </c>
      <c r="G79" s="87">
        <v>10</v>
      </c>
      <c r="H79" s="87">
        <v>70</v>
      </c>
      <c r="I79" s="87">
        <v>10</v>
      </c>
      <c r="J79" s="88">
        <v>1</v>
      </c>
      <c r="K79" s="88">
        <v>12</v>
      </c>
      <c r="L79" s="89">
        <v>0</v>
      </c>
      <c r="M79" s="90" t="str">
        <f t="shared" si="18"/>
        <v>shad</v>
      </c>
      <c r="N79" s="172">
        <f>_xlfn.IFNA(INDEX(ZConfig!$C$4:$C$20,MATCH(C79,ZConfig!$B$4:$B$20,0)),"")</f>
        <v>4</v>
      </c>
    </row>
    <row r="80" spans="1:14" s="85" customFormat="1">
      <c r="A80" s="85">
        <v>79</v>
      </c>
      <c r="B80" s="85" t="s">
        <v>302</v>
      </c>
      <c r="C80" s="85" t="s">
        <v>47</v>
      </c>
      <c r="D80" s="289" t="s">
        <v>275</v>
      </c>
      <c r="E80">
        <v>6</v>
      </c>
      <c r="F80">
        <v>2</v>
      </c>
      <c r="G80" s="87">
        <v>10</v>
      </c>
      <c r="H80" s="87">
        <v>70</v>
      </c>
      <c r="I80" s="87">
        <v>10</v>
      </c>
      <c r="J80" s="88">
        <v>1</v>
      </c>
      <c r="K80" s="88">
        <v>12</v>
      </c>
      <c r="L80" s="89">
        <v>0</v>
      </c>
      <c r="M80" s="90" t="str">
        <f t="shared" si="18"/>
        <v>silvercarp</v>
      </c>
      <c r="N80" s="172">
        <f>_xlfn.IFNA(INDEX(ZConfig!$C$4:$C$20,MATCH(C80,ZConfig!$B$4:$B$20,0)),"")</f>
        <v>4</v>
      </c>
    </row>
    <row r="81" spans="1:14" s="85" customFormat="1">
      <c r="A81" s="85">
        <v>80</v>
      </c>
      <c r="B81" s="85" t="s">
        <v>291</v>
      </c>
      <c r="C81" s="85" t="s">
        <v>47</v>
      </c>
      <c r="D81" s="289" t="s">
        <v>275</v>
      </c>
      <c r="E81">
        <v>6</v>
      </c>
      <c r="F81">
        <v>2</v>
      </c>
      <c r="G81" s="87">
        <v>10</v>
      </c>
      <c r="H81" s="87">
        <v>70</v>
      </c>
      <c r="I81" s="87">
        <v>10</v>
      </c>
      <c r="J81" s="88">
        <v>1</v>
      </c>
      <c r="K81" s="88">
        <v>12</v>
      </c>
      <c r="L81" s="89">
        <v>0</v>
      </c>
      <c r="M81" s="90" t="str">
        <f t="shared" si="18"/>
        <v>sturgeon</v>
      </c>
      <c r="N81" s="172">
        <f>_xlfn.IFNA(INDEX(ZConfig!$C$4:$C$20,MATCH(C81,ZConfig!$B$4:$B$20,0)),"")</f>
        <v>4</v>
      </c>
    </row>
    <row r="82" spans="1:14" s="85" customFormat="1">
      <c r="A82" s="85">
        <v>81</v>
      </c>
      <c r="B82" s="85" t="s">
        <v>292</v>
      </c>
      <c r="C82" s="85" t="s">
        <v>47</v>
      </c>
      <c r="D82" s="289" t="s">
        <v>275</v>
      </c>
      <c r="E82">
        <v>6</v>
      </c>
      <c r="F82">
        <v>2</v>
      </c>
      <c r="G82" s="87">
        <v>10</v>
      </c>
      <c r="H82" s="87">
        <v>70</v>
      </c>
      <c r="I82" s="87">
        <v>10</v>
      </c>
      <c r="J82" s="88">
        <v>1</v>
      </c>
      <c r="K82" s="88">
        <v>12</v>
      </c>
      <c r="L82" s="89">
        <v>0</v>
      </c>
      <c r="M82" s="90" t="str">
        <f t="shared" si="18"/>
        <v>sunfish</v>
      </c>
      <c r="N82" s="172">
        <f>_xlfn.IFNA(INDEX(ZConfig!$C$4:$C$20,MATCH(C82,ZConfig!$B$4:$B$20,0)),"")</f>
        <v>4</v>
      </c>
    </row>
    <row r="83" spans="1:14" s="85" customFormat="1">
      <c r="A83" s="85">
        <v>82</v>
      </c>
      <c r="B83" s="85" t="s">
        <v>293</v>
      </c>
      <c r="C83" s="85" t="s">
        <v>47</v>
      </c>
      <c r="D83" s="289" t="s">
        <v>275</v>
      </c>
      <c r="E83">
        <v>6</v>
      </c>
      <c r="F83">
        <v>2</v>
      </c>
      <c r="G83" s="87">
        <v>10</v>
      </c>
      <c r="H83" s="87">
        <v>70</v>
      </c>
      <c r="I83" s="87">
        <v>10</v>
      </c>
      <c r="J83" s="88">
        <v>1</v>
      </c>
      <c r="K83" s="88">
        <v>12</v>
      </c>
      <c r="L83" s="89">
        <v>0</v>
      </c>
      <c r="M83" s="90" t="str">
        <f t="shared" si="18"/>
        <v>walleye</v>
      </c>
      <c r="N83" s="172">
        <f>_xlfn.IFNA(INDEX(ZConfig!$C$4:$C$20,MATCH(C83,ZConfig!$B$4:$B$20,0)),"")</f>
        <v>4</v>
      </c>
    </row>
    <row r="84" spans="1:14">
      <c r="A84" s="85">
        <v>83</v>
      </c>
      <c r="B84" s="85" t="s">
        <v>316</v>
      </c>
      <c r="C84" s="85" t="s">
        <v>47</v>
      </c>
      <c r="D84" s="289" t="s">
        <v>275</v>
      </c>
      <c r="E84">
        <v>6</v>
      </c>
      <c r="F84">
        <v>2</v>
      </c>
      <c r="G84" s="87">
        <v>10</v>
      </c>
      <c r="H84" s="87">
        <v>70</v>
      </c>
      <c r="I84" s="87">
        <v>10</v>
      </c>
      <c r="J84" s="88">
        <v>1</v>
      </c>
      <c r="K84" s="88">
        <v>12</v>
      </c>
      <c r="L84" s="89">
        <v>0</v>
      </c>
      <c r="M84" s="90" t="str">
        <f t="shared" si="18"/>
        <v>newfish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FBAD48-4BCF-4DDD-950F-65EFA680C78F}">
          <x14:formula1>
            <xm:f>ZConfig!$B$4:$B$20</xm:f>
          </x14:formula1>
          <xm:sqref>C2:C84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3E42B-7E53-4F3D-9E8B-E39DC178D1C3}">
  <sheetPr codeName="Sheet14"/>
  <dimension ref="A1:J29"/>
  <sheetViews>
    <sheetView zoomScale="145" zoomScaleNormal="145" workbookViewId="0">
      <pane ySplit="1" topLeftCell="A2" activePane="bottomLeft" state="frozen"/>
      <selection pane="bottomLeft" activeCell="E22" sqref="E22"/>
    </sheetView>
  </sheetViews>
  <sheetFormatPr defaultRowHeight="15"/>
  <cols>
    <col min="1" max="1" width="6" style="170" bestFit="1" customWidth="1"/>
    <col min="2" max="2" width="14" bestFit="1" customWidth="1"/>
    <col min="3" max="3" width="8.7109375" bestFit="1" customWidth="1"/>
    <col min="4" max="4" width="15.140625" style="170" bestFit="1" customWidth="1"/>
    <col min="5" max="5" width="15.42578125" style="170" bestFit="1" customWidth="1"/>
    <col min="6" max="6" width="9.85546875" style="170" bestFit="1" customWidth="1"/>
    <col min="7" max="7" width="14" style="170" bestFit="1" customWidth="1"/>
    <col min="8" max="8" width="12" bestFit="1" customWidth="1"/>
    <col min="9" max="9" width="12.28515625" bestFit="1" customWidth="1"/>
    <col min="10" max="10" width="12.7109375" bestFit="1" customWidth="1"/>
  </cols>
  <sheetData>
    <row r="1" spans="1:10" s="40" customFormat="1">
      <c r="A1" s="169" t="s">
        <v>306</v>
      </c>
      <c r="B1" s="40" t="s">
        <v>1</v>
      </c>
      <c r="C1" s="40" t="s">
        <v>276</v>
      </c>
      <c r="D1" s="169" t="s">
        <v>303</v>
      </c>
      <c r="E1" s="169" t="s">
        <v>304</v>
      </c>
      <c r="F1" s="169" t="s">
        <v>277</v>
      </c>
      <c r="G1" s="169" t="s">
        <v>278</v>
      </c>
      <c r="H1" s="40" t="s">
        <v>308</v>
      </c>
      <c r="I1" s="40" t="s">
        <v>307</v>
      </c>
      <c r="J1" s="40" t="s">
        <v>3</v>
      </c>
    </row>
    <row r="2" spans="1:10" s="294" customFormat="1">
      <c r="A2" s="292">
        <f>_xlfn.IFNA( INDEX(AllItems!$A$2:$A$1014,MATCH(B2,AllItems!$B$2:$B$1014,0)), 0)</f>
        <v>56</v>
      </c>
      <c r="B2" s="293" t="s">
        <v>309</v>
      </c>
      <c r="C2" s="293">
        <v>1</v>
      </c>
      <c r="D2" s="292">
        <v>0</v>
      </c>
      <c r="E2" s="292">
        <v>0</v>
      </c>
      <c r="F2" s="292">
        <v>1</v>
      </c>
      <c r="G2" s="292">
        <v>0</v>
      </c>
      <c r="H2" s="292">
        <v>1</v>
      </c>
      <c r="I2" s="292">
        <v>5</v>
      </c>
      <c r="J2" s="293" t="str">
        <f>LOWER(SUBSTITUTE(TRIM(B2)," ",""))</f>
        <v>fishbones</v>
      </c>
    </row>
    <row r="3" spans="1:10" s="293" customFormat="1">
      <c r="A3" s="292">
        <f>_xlfn.IFNA( INDEX(AllItems!$A$2:$A$1014,MATCH(B3,AllItems!$B$2:$B$1014,0)), 0)</f>
        <v>57</v>
      </c>
      <c r="B3" s="293" t="s">
        <v>311</v>
      </c>
      <c r="C3" s="293">
        <v>1</v>
      </c>
      <c r="D3" s="292">
        <v>0</v>
      </c>
      <c r="E3" s="292">
        <v>0</v>
      </c>
      <c r="F3" s="292">
        <v>1</v>
      </c>
      <c r="G3" s="292">
        <v>0</v>
      </c>
      <c r="H3" s="292">
        <v>1</v>
      </c>
      <c r="I3" s="292">
        <v>5</v>
      </c>
      <c r="J3" s="293" t="str">
        <f>LOWER(SUBSTITUTE(TRIM(B3)," ",""))</f>
        <v>emptycan</v>
      </c>
    </row>
    <row r="4" spans="1:10" s="293" customFormat="1">
      <c r="A4" s="292">
        <f>_xlfn.IFNA( INDEX(AllItems!$A$2:$A$1014,MATCH(B4,AllItems!$B$2:$B$1014,0)), 0)</f>
        <v>58</v>
      </c>
      <c r="B4" s="293" t="s">
        <v>294</v>
      </c>
      <c r="C4" s="293">
        <v>1</v>
      </c>
      <c r="D4" s="292">
        <v>80</v>
      </c>
      <c r="E4" s="292">
        <v>100</v>
      </c>
      <c r="F4" s="292">
        <v>1</v>
      </c>
      <c r="G4" s="292">
        <v>90</v>
      </c>
      <c r="H4" s="292">
        <v>1</v>
      </c>
      <c r="I4" s="292">
        <v>5</v>
      </c>
      <c r="J4" s="293" t="str">
        <f>LOWER(SUBSTITUTE(TRIM(B4)," ",""))</f>
        <v>bluecatfish</v>
      </c>
    </row>
    <row r="5" spans="1:10" s="293" customFormat="1">
      <c r="A5" s="292">
        <f>_xlfn.IFNA( INDEX(AllItems!$A$2:$A$1014,MATCH(B5,AllItems!$B$2:$B$1014,0)), 0)</f>
        <v>59</v>
      </c>
      <c r="B5" s="293" t="s">
        <v>279</v>
      </c>
      <c r="C5" s="293">
        <v>1</v>
      </c>
      <c r="D5" s="292">
        <v>80</v>
      </c>
      <c r="E5" s="292">
        <v>100</v>
      </c>
      <c r="F5" s="292">
        <v>1</v>
      </c>
      <c r="G5" s="292">
        <v>130</v>
      </c>
      <c r="H5" s="292">
        <v>1</v>
      </c>
      <c r="I5" s="292">
        <v>5</v>
      </c>
      <c r="J5" s="293" t="str">
        <f t="shared" ref="J5:J28" si="0">LOWER(SUBSTITUTE(TRIM(B5)," ",""))</f>
        <v>bream</v>
      </c>
    </row>
    <row r="6" spans="1:10" s="293" customFormat="1">
      <c r="A6" s="292">
        <f>_xlfn.IFNA( INDEX(AllItems!$A$2:$A$1014,MATCH(B6,AllItems!$B$2:$B$1014,0)), 0)</f>
        <v>60</v>
      </c>
      <c r="B6" s="293" t="s">
        <v>295</v>
      </c>
      <c r="C6" s="293">
        <v>1</v>
      </c>
      <c r="D6" s="292">
        <v>10</v>
      </c>
      <c r="E6" s="292">
        <v>25</v>
      </c>
      <c r="F6" s="292">
        <v>1</v>
      </c>
      <c r="G6" s="292">
        <v>100</v>
      </c>
      <c r="H6" s="292">
        <v>1</v>
      </c>
      <c r="I6" s="292">
        <v>5</v>
      </c>
      <c r="J6" s="293" t="str">
        <f t="shared" si="0"/>
        <v>browntrout</v>
      </c>
    </row>
    <row r="7" spans="1:10" s="293" customFormat="1">
      <c r="A7" s="292">
        <f>_xlfn.IFNA( INDEX(AllItems!$A$2:$A$1014,MATCH(B7,AllItems!$B$2:$B$1014,0)), 0)</f>
        <v>61</v>
      </c>
      <c r="B7" s="293" t="s">
        <v>305</v>
      </c>
      <c r="C7" s="295">
        <v>4</v>
      </c>
      <c r="D7" s="292">
        <v>50</v>
      </c>
      <c r="E7" s="292">
        <v>100</v>
      </c>
      <c r="F7" s="292">
        <v>1</v>
      </c>
      <c r="G7" s="292">
        <v>120</v>
      </c>
      <c r="H7" s="292">
        <v>1</v>
      </c>
      <c r="I7" s="292">
        <v>5</v>
      </c>
      <c r="J7" s="293" t="str">
        <f t="shared" si="0"/>
        <v>bigheadcarp</v>
      </c>
    </row>
    <row r="8" spans="1:10" s="293" customFormat="1">
      <c r="A8" s="292">
        <f>_xlfn.IFNA( INDEX(AllItems!$A$2:$A$1014,MATCH(B8,AllItems!$B$2:$B$1014,0)), 0)</f>
        <v>62</v>
      </c>
      <c r="B8" s="293" t="s">
        <v>280</v>
      </c>
      <c r="C8" s="293">
        <v>1</v>
      </c>
      <c r="D8" s="292">
        <v>10</v>
      </c>
      <c r="E8" s="292">
        <v>35</v>
      </c>
      <c r="F8" s="292">
        <v>1</v>
      </c>
      <c r="G8" s="292">
        <v>140</v>
      </c>
      <c r="H8" s="292">
        <v>1</v>
      </c>
      <c r="I8" s="292">
        <v>5</v>
      </c>
      <c r="J8" s="293" t="str">
        <f t="shared" si="0"/>
        <v>crayfish</v>
      </c>
    </row>
    <row r="9" spans="1:10" s="91" customFormat="1">
      <c r="A9" s="296">
        <f>_xlfn.IFNA( INDEX(AllItems!$A$2:$A$1014,MATCH(B9,AllItems!$B$2:$B$1014,0)), 0)</f>
        <v>63</v>
      </c>
      <c r="B9" s="91" t="s">
        <v>296</v>
      </c>
      <c r="C9" s="91">
        <v>2</v>
      </c>
      <c r="D9" s="296">
        <v>80</v>
      </c>
      <c r="E9" s="296">
        <v>100</v>
      </c>
      <c r="F9" s="296">
        <v>2</v>
      </c>
      <c r="G9" s="296">
        <v>160</v>
      </c>
      <c r="H9" s="296">
        <v>1</v>
      </c>
      <c r="I9" s="296">
        <v>5</v>
      </c>
      <c r="J9" s="91" t="str">
        <f t="shared" si="0"/>
        <v>creekchub</v>
      </c>
    </row>
    <row r="10" spans="1:10" s="91" customFormat="1">
      <c r="A10" s="296">
        <f>_xlfn.IFNA( INDEX(AllItems!$A$2:$A$1014,MATCH(B10,AllItems!$B$2:$B$1014,0)), 0)</f>
        <v>64</v>
      </c>
      <c r="B10" s="91" t="s">
        <v>281</v>
      </c>
      <c r="C10" s="91">
        <v>3</v>
      </c>
      <c r="D10" s="296">
        <v>10</v>
      </c>
      <c r="E10" s="296">
        <v>25</v>
      </c>
      <c r="F10" s="296">
        <v>2</v>
      </c>
      <c r="G10" s="296">
        <v>90</v>
      </c>
      <c r="H10" s="296">
        <v>1</v>
      </c>
      <c r="I10" s="296">
        <v>5</v>
      </c>
      <c r="J10" s="91" t="str">
        <f t="shared" si="0"/>
        <v>ghostfish</v>
      </c>
    </row>
    <row r="11" spans="1:10" s="91" customFormat="1">
      <c r="A11" s="296">
        <f>_xlfn.IFNA( INDEX(AllItems!$A$2:$A$1014,MATCH(B11,AllItems!$B$2:$B$1014,0)), 0)</f>
        <v>65</v>
      </c>
      <c r="B11" s="91" t="s">
        <v>282</v>
      </c>
      <c r="C11" s="91">
        <v>1</v>
      </c>
      <c r="D11" s="296">
        <v>50</v>
      </c>
      <c r="E11" s="296">
        <v>100</v>
      </c>
      <c r="F11" s="296">
        <v>2</v>
      </c>
      <c r="G11" s="296">
        <v>130</v>
      </c>
      <c r="H11" s="296">
        <v>1</v>
      </c>
      <c r="I11" s="296">
        <v>5</v>
      </c>
      <c r="J11" s="91" t="str">
        <f t="shared" si="0"/>
        <v>glowfish</v>
      </c>
    </row>
    <row r="12" spans="1:10" s="91" customFormat="1">
      <c r="A12" s="296">
        <f>_xlfn.IFNA( INDEX(AllItems!$A$2:$A$1014,MATCH(B12,AllItems!$B$2:$B$1014,0)), 0)</f>
        <v>66</v>
      </c>
      <c r="B12" s="91" t="s">
        <v>297</v>
      </c>
      <c r="C12" s="91">
        <v>1</v>
      </c>
      <c r="D12" s="296">
        <v>10</v>
      </c>
      <c r="E12" s="296">
        <v>35</v>
      </c>
      <c r="F12" s="296">
        <v>2</v>
      </c>
      <c r="G12" s="296">
        <v>100</v>
      </c>
      <c r="H12" s="296">
        <v>1</v>
      </c>
      <c r="I12" s="296">
        <v>5</v>
      </c>
      <c r="J12" s="91" t="str">
        <f t="shared" si="0"/>
        <v>goldentrout</v>
      </c>
    </row>
    <row r="13" spans="1:10" s="91" customFormat="1">
      <c r="A13" s="296">
        <f>_xlfn.IFNA( INDEX(AllItems!$A$2:$A$1014,MATCH(B13,AllItems!$B$2:$B$1014,0)), 0)</f>
        <v>67</v>
      </c>
      <c r="B13" s="91" t="s">
        <v>283</v>
      </c>
      <c r="C13" s="91">
        <v>1</v>
      </c>
      <c r="D13" s="296">
        <v>80</v>
      </c>
      <c r="E13" s="296">
        <v>100</v>
      </c>
      <c r="F13" s="296">
        <v>2</v>
      </c>
      <c r="G13" s="296">
        <v>120</v>
      </c>
      <c r="H13" s="296">
        <v>1</v>
      </c>
      <c r="I13" s="296">
        <v>5</v>
      </c>
      <c r="J13" s="91" t="str">
        <f t="shared" si="0"/>
        <v>goldfish</v>
      </c>
    </row>
    <row r="14" spans="1:10" s="91" customFormat="1">
      <c r="A14" s="296">
        <f>_xlfn.IFNA( INDEX(AllItems!$A$2:$A$1014,MATCH(B14,AllItems!$B$2:$B$1014,0)), 0)</f>
        <v>68</v>
      </c>
      <c r="B14" s="91" t="s">
        <v>298</v>
      </c>
      <c r="C14" s="297">
        <v>4</v>
      </c>
      <c r="D14" s="296">
        <v>10</v>
      </c>
      <c r="E14" s="296">
        <v>25</v>
      </c>
      <c r="F14" s="296">
        <v>2</v>
      </c>
      <c r="G14" s="296">
        <v>140</v>
      </c>
      <c r="H14" s="296">
        <v>1</v>
      </c>
      <c r="I14" s="296">
        <v>5</v>
      </c>
      <c r="J14" s="91" t="str">
        <f t="shared" si="0"/>
        <v>grasscarp</v>
      </c>
    </row>
    <row r="15" spans="1:10" s="299" customFormat="1">
      <c r="A15" s="298">
        <f>_xlfn.IFNA( INDEX(AllItems!$A$2:$A$1014,MATCH(B15,AllItems!$B$2:$B$1014,0)), 0)</f>
        <v>69</v>
      </c>
      <c r="B15" s="299" t="s">
        <v>284</v>
      </c>
      <c r="C15" s="299">
        <v>1</v>
      </c>
      <c r="D15" s="298">
        <v>50</v>
      </c>
      <c r="E15" s="298">
        <v>100</v>
      </c>
      <c r="F15" s="298">
        <v>3</v>
      </c>
      <c r="G15" s="298">
        <v>160</v>
      </c>
      <c r="H15" s="298">
        <v>1</v>
      </c>
      <c r="I15" s="298">
        <v>5</v>
      </c>
      <c r="J15" s="299" t="str">
        <f t="shared" si="0"/>
        <v>greenling</v>
      </c>
    </row>
    <row r="16" spans="1:10" s="299" customFormat="1">
      <c r="A16" s="298">
        <f>_xlfn.IFNA( INDEX(AllItems!$A$2:$A$1014,MATCH(B16,AllItems!$B$2:$B$1014,0)), 0)</f>
        <v>70</v>
      </c>
      <c r="B16" s="299" t="s">
        <v>285</v>
      </c>
      <c r="C16" s="299">
        <v>2</v>
      </c>
      <c r="D16" s="298">
        <v>10</v>
      </c>
      <c r="E16" s="298">
        <v>35</v>
      </c>
      <c r="F16" s="298">
        <v>3</v>
      </c>
      <c r="G16" s="298">
        <v>90</v>
      </c>
      <c r="H16" s="298">
        <v>1</v>
      </c>
      <c r="I16" s="298">
        <v>5</v>
      </c>
      <c r="J16" s="299" t="str">
        <f t="shared" si="0"/>
        <v>herring</v>
      </c>
    </row>
    <row r="17" spans="1:10" s="299" customFormat="1">
      <c r="A17" s="298">
        <f>_xlfn.IFNA( INDEX(AllItems!$A$2:$A$1014,MATCH(B17,AllItems!$B$2:$B$1014,0)), 0)</f>
        <v>71</v>
      </c>
      <c r="B17" s="299" t="s">
        <v>299</v>
      </c>
      <c r="C17" s="299">
        <v>3</v>
      </c>
      <c r="D17" s="298">
        <v>80</v>
      </c>
      <c r="E17" s="298">
        <v>100</v>
      </c>
      <c r="F17" s="298">
        <v>3</v>
      </c>
      <c r="G17" s="298">
        <v>130</v>
      </c>
      <c r="H17" s="298">
        <v>1</v>
      </c>
      <c r="I17" s="298">
        <v>5</v>
      </c>
      <c r="J17" s="299" t="str">
        <f t="shared" si="0"/>
        <v>northernpike</v>
      </c>
    </row>
    <row r="18" spans="1:10" s="299" customFormat="1">
      <c r="A18" s="298">
        <f>_xlfn.IFNA( INDEX(AllItems!$A$2:$A$1014,MATCH(B18,AllItems!$B$2:$B$1014,0)), 0)</f>
        <v>72</v>
      </c>
      <c r="B18" s="299" t="s">
        <v>286</v>
      </c>
      <c r="C18" s="299">
        <v>1</v>
      </c>
      <c r="D18" s="298">
        <v>10</v>
      </c>
      <c r="E18" s="298">
        <v>25</v>
      </c>
      <c r="F18" s="298">
        <v>3</v>
      </c>
      <c r="G18" s="298">
        <v>100</v>
      </c>
      <c r="H18" s="298">
        <v>1</v>
      </c>
      <c r="I18" s="298">
        <v>5</v>
      </c>
      <c r="J18" s="299" t="str">
        <f t="shared" si="0"/>
        <v>perch</v>
      </c>
    </row>
    <row r="19" spans="1:10" s="299" customFormat="1">
      <c r="A19" s="298">
        <f>_xlfn.IFNA( INDEX(AllItems!$A$2:$A$1014,MATCH(B19,AllItems!$B$2:$B$1014,0)), 0)</f>
        <v>73</v>
      </c>
      <c r="B19" s="299" t="s">
        <v>300</v>
      </c>
      <c r="C19" s="299">
        <v>1</v>
      </c>
      <c r="D19" s="298">
        <v>50</v>
      </c>
      <c r="E19" s="298">
        <v>100</v>
      </c>
      <c r="F19" s="298">
        <v>3</v>
      </c>
      <c r="G19" s="298">
        <v>120</v>
      </c>
      <c r="H19" s="298">
        <v>1</v>
      </c>
      <c r="I19" s="298">
        <v>5</v>
      </c>
      <c r="J19" s="299" t="str">
        <f t="shared" si="0"/>
        <v>rainbowtrout</v>
      </c>
    </row>
    <row r="20" spans="1:10" s="299" customFormat="1">
      <c r="A20" s="298">
        <f>_xlfn.IFNA( INDEX(AllItems!$A$2:$A$1014,MATCH(B20,AllItems!$B$2:$B$1014,0)), 0)</f>
        <v>74</v>
      </c>
      <c r="B20" s="299" t="s">
        <v>301</v>
      </c>
      <c r="C20" s="299">
        <v>1</v>
      </c>
      <c r="D20" s="298">
        <v>10</v>
      </c>
      <c r="E20" s="298">
        <v>35</v>
      </c>
      <c r="F20" s="298">
        <v>3</v>
      </c>
      <c r="G20" s="298">
        <v>140</v>
      </c>
      <c r="H20" s="298">
        <v>1</v>
      </c>
      <c r="I20" s="298">
        <v>5</v>
      </c>
      <c r="J20" s="299" t="str">
        <f t="shared" si="0"/>
        <v>redsnapper</v>
      </c>
    </row>
    <row r="21" spans="1:10" s="36" customFormat="1">
      <c r="A21" s="300">
        <f>_xlfn.IFNA( INDEX(AllItems!$A$2:$A$1014,MATCH(B21,AllItems!$B$2:$B$1014,0)), 0)</f>
        <v>75</v>
      </c>
      <c r="B21" s="36" t="s">
        <v>287</v>
      </c>
      <c r="C21" s="301">
        <v>4</v>
      </c>
      <c r="D21" s="300">
        <v>80</v>
      </c>
      <c r="E21" s="300">
        <v>100</v>
      </c>
      <c r="F21" s="300">
        <v>4</v>
      </c>
      <c r="G21" s="300">
        <v>160</v>
      </c>
      <c r="H21" s="300">
        <v>1</v>
      </c>
      <c r="I21" s="300">
        <v>5</v>
      </c>
      <c r="J21" s="36" t="str">
        <f t="shared" si="0"/>
        <v>roach</v>
      </c>
    </row>
    <row r="22" spans="1:10" s="36" customFormat="1">
      <c r="A22" s="300">
        <f>_xlfn.IFNA( INDEX(AllItems!$A$2:$A$1014,MATCH(B22,AllItems!$B$2:$B$1014,0)), 0)</f>
        <v>76</v>
      </c>
      <c r="B22" s="36" t="s">
        <v>288</v>
      </c>
      <c r="C22" s="36">
        <v>1</v>
      </c>
      <c r="D22" s="300">
        <v>10</v>
      </c>
      <c r="E22" s="300">
        <v>25</v>
      </c>
      <c r="F22" s="300">
        <v>4</v>
      </c>
      <c r="G22" s="300">
        <v>90</v>
      </c>
      <c r="H22" s="300">
        <v>1</v>
      </c>
      <c r="I22" s="300">
        <v>5</v>
      </c>
      <c r="J22" s="36" t="str">
        <f t="shared" si="0"/>
        <v>salmon</v>
      </c>
    </row>
    <row r="23" spans="1:10" s="36" customFormat="1">
      <c r="A23" s="300">
        <f>_xlfn.IFNA( INDEX(AllItems!$A$2:$A$1014,MATCH(B23,AllItems!$B$2:$B$1014,0)), 0)</f>
        <v>77</v>
      </c>
      <c r="B23" s="36" t="s">
        <v>289</v>
      </c>
      <c r="C23" s="36">
        <v>2</v>
      </c>
      <c r="D23" s="300">
        <v>50</v>
      </c>
      <c r="E23" s="300">
        <v>100</v>
      </c>
      <c r="F23" s="300">
        <v>4</v>
      </c>
      <c r="G23" s="300">
        <v>130</v>
      </c>
      <c r="H23" s="300">
        <v>1</v>
      </c>
      <c r="I23" s="300">
        <v>5</v>
      </c>
      <c r="J23" s="36" t="str">
        <f t="shared" si="0"/>
        <v>sardine</v>
      </c>
    </row>
    <row r="24" spans="1:10" s="36" customFormat="1">
      <c r="A24" s="300">
        <f>_xlfn.IFNA( INDEX(AllItems!$A$2:$A$1014,MATCH(B24,AllItems!$B$2:$B$1014,0)), 0)</f>
        <v>78</v>
      </c>
      <c r="B24" s="36" t="s">
        <v>290</v>
      </c>
      <c r="C24" s="36">
        <v>3</v>
      </c>
      <c r="D24" s="300">
        <v>10</v>
      </c>
      <c r="E24" s="300">
        <v>35</v>
      </c>
      <c r="F24" s="300">
        <v>4</v>
      </c>
      <c r="G24" s="300">
        <v>100</v>
      </c>
      <c r="H24" s="300">
        <v>1</v>
      </c>
      <c r="I24" s="300">
        <v>5</v>
      </c>
      <c r="J24" s="36" t="str">
        <f t="shared" si="0"/>
        <v>shad</v>
      </c>
    </row>
    <row r="25" spans="1:10" s="36" customFormat="1">
      <c r="A25" s="300">
        <f>_xlfn.IFNA( INDEX(AllItems!$A$2:$A$1014,MATCH(B25,AllItems!$B$2:$B$1014,0)), 0)</f>
        <v>79</v>
      </c>
      <c r="B25" s="36" t="s">
        <v>302</v>
      </c>
      <c r="C25" s="36">
        <v>1</v>
      </c>
      <c r="D25" s="300">
        <v>50</v>
      </c>
      <c r="E25" s="300">
        <v>100</v>
      </c>
      <c r="F25" s="300">
        <v>4</v>
      </c>
      <c r="G25" s="300">
        <v>120</v>
      </c>
      <c r="H25" s="300">
        <v>1</v>
      </c>
      <c r="I25" s="300">
        <v>5</v>
      </c>
      <c r="J25" s="36" t="str">
        <f t="shared" si="0"/>
        <v>silvercarp</v>
      </c>
    </row>
    <row r="26" spans="1:10" s="36" customFormat="1">
      <c r="A26" s="300">
        <f>_xlfn.IFNA( INDEX(AllItems!$A$2:$A$1014,MATCH(B26,AllItems!$B$2:$B$1014,0)), 0)</f>
        <v>80</v>
      </c>
      <c r="B26" s="36" t="s">
        <v>291</v>
      </c>
      <c r="C26" s="36">
        <v>1</v>
      </c>
      <c r="D26" s="300">
        <v>50</v>
      </c>
      <c r="E26" s="300">
        <v>100</v>
      </c>
      <c r="F26" s="300">
        <v>4</v>
      </c>
      <c r="G26" s="300">
        <v>140</v>
      </c>
      <c r="H26" s="300">
        <v>1</v>
      </c>
      <c r="I26" s="300">
        <v>5</v>
      </c>
      <c r="J26" s="36" t="str">
        <f t="shared" si="0"/>
        <v>sturgeon</v>
      </c>
    </row>
    <row r="27" spans="1:10" s="36" customFormat="1">
      <c r="A27" s="300">
        <f>_xlfn.IFNA( INDEX(AllItems!$A$2:$A$1014,MATCH(B27,AllItems!$B$2:$B$1014,0)), 0)</f>
        <v>81</v>
      </c>
      <c r="B27" s="36" t="s">
        <v>292</v>
      </c>
      <c r="C27" s="36">
        <v>1</v>
      </c>
      <c r="D27" s="300">
        <v>10</v>
      </c>
      <c r="E27" s="300">
        <v>35</v>
      </c>
      <c r="F27" s="300">
        <v>4</v>
      </c>
      <c r="G27" s="300">
        <v>160</v>
      </c>
      <c r="H27" s="300">
        <v>1</v>
      </c>
      <c r="I27" s="300">
        <v>5</v>
      </c>
      <c r="J27" s="36" t="str">
        <f t="shared" si="0"/>
        <v>sunfish</v>
      </c>
    </row>
    <row r="28" spans="1:10" s="36" customFormat="1">
      <c r="A28" s="300">
        <f>_xlfn.IFNA( INDEX(AllItems!$A$2:$A$1014,MATCH(B28,AllItems!$B$2:$B$1014,0)), 0)</f>
        <v>82</v>
      </c>
      <c r="B28" s="36" t="s">
        <v>293</v>
      </c>
      <c r="C28" s="301">
        <v>4</v>
      </c>
      <c r="D28" s="300">
        <v>80</v>
      </c>
      <c r="E28" s="300">
        <v>100</v>
      </c>
      <c r="F28" s="300">
        <v>4</v>
      </c>
      <c r="G28" s="300">
        <v>80</v>
      </c>
      <c r="H28" s="300">
        <v>1</v>
      </c>
      <c r="I28" s="300">
        <v>5</v>
      </c>
      <c r="J28" s="36" t="str">
        <f t="shared" si="0"/>
        <v>walleye</v>
      </c>
    </row>
    <row r="29" spans="1:10">
      <c r="A29" s="300">
        <f>_xlfn.IFNA( INDEX(AllItems!$A$2:$A$1014,MATCH(B29,AllItems!$B$2:$B$1014,0)), 0)</f>
        <v>83</v>
      </c>
      <c r="B29" s="36" t="s">
        <v>316</v>
      </c>
      <c r="C29" s="301">
        <v>4</v>
      </c>
      <c r="D29" s="300">
        <v>80</v>
      </c>
      <c r="E29" s="300">
        <v>100</v>
      </c>
      <c r="F29" s="300">
        <v>4</v>
      </c>
      <c r="G29" s="300">
        <v>80</v>
      </c>
      <c r="H29" s="300">
        <v>1</v>
      </c>
      <c r="I29" s="300">
        <v>5</v>
      </c>
      <c r="J29" s="36" t="str">
        <f t="shared" ref="J29" si="1">LOWER(SUBSTITUTE(TRIM(B29)," ",""))</f>
        <v>newfish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C93F59-1964-485B-9795-B3255C928920}">
          <x14:formula1>
            <xm:f>AllItems!$B$2:$B$1002</xm:f>
          </x14:formula1>
          <xm:sqref>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BF92-0FFC-4E35-95D6-983C4E6B14E0}">
  <sheetPr codeName="Sheet13"/>
  <dimension ref="A1:I8"/>
  <sheetViews>
    <sheetView zoomScale="130" zoomScaleNormal="130" workbookViewId="0">
      <selection activeCell="I8" sqref="I8"/>
    </sheetView>
  </sheetViews>
  <sheetFormatPr defaultRowHeight="15"/>
  <cols>
    <col min="1" max="1" width="3" customWidth="1"/>
    <col min="2" max="2" width="15.140625" bestFit="1" customWidth="1"/>
    <col min="3" max="3" width="16.5703125" bestFit="1" customWidth="1"/>
    <col min="4" max="4" width="12.85546875" style="204" bestFit="1" customWidth="1"/>
    <col min="5" max="5" width="8.7109375" style="170" bestFit="1" customWidth="1"/>
    <col min="6" max="7" width="9" style="170" bestFit="1" customWidth="1"/>
    <col min="8" max="8" width="11.42578125" style="170" customWidth="1"/>
    <col min="9" max="9" width="14.42578125" bestFit="1" customWidth="1"/>
  </cols>
  <sheetData>
    <row r="1" spans="1:9">
      <c r="A1" t="s">
        <v>0</v>
      </c>
      <c r="B1" s="201" t="s">
        <v>1</v>
      </c>
      <c r="C1" s="201" t="s">
        <v>209</v>
      </c>
      <c r="D1" s="204" t="s">
        <v>81</v>
      </c>
      <c r="E1" s="170" t="s">
        <v>178</v>
      </c>
      <c r="F1" s="170" t="s">
        <v>179</v>
      </c>
      <c r="G1" s="170" t="s">
        <v>63</v>
      </c>
      <c r="H1" s="170" t="s">
        <v>180</v>
      </c>
      <c r="I1" t="s">
        <v>3</v>
      </c>
    </row>
    <row r="2" spans="1:9">
      <c r="A2">
        <v>1</v>
      </c>
      <c r="B2" t="s">
        <v>268</v>
      </c>
      <c r="C2" t="s">
        <v>272</v>
      </c>
      <c r="D2" s="204">
        <f>_xlfn.IFNA( INDEX(AllItems!$A$2:$A$1014,MATCH(C2,AllItems!$B$2:$B$1014,0)), 0)</f>
        <v>35</v>
      </c>
      <c r="E2" s="170">
        <v>1</v>
      </c>
      <c r="F2" s="170">
        <v>1</v>
      </c>
      <c r="G2" s="170">
        <v>2</v>
      </c>
      <c r="H2" s="170">
        <v>4</v>
      </c>
      <c r="I2" t="str">
        <f>LOWER(SUBSTITUTE(TRIM(B2)," ",""))</f>
        <v>smallpinetree</v>
      </c>
    </row>
    <row r="3" spans="1:9">
      <c r="A3">
        <v>2</v>
      </c>
      <c r="B3" t="s">
        <v>269</v>
      </c>
      <c r="C3" t="s">
        <v>272</v>
      </c>
      <c r="D3" s="204">
        <f>_xlfn.IFNA( INDEX(AllItems!$A$2:$A$1014,MATCH(C3,AllItems!$B$2:$B$1014,0)), 0)</f>
        <v>35</v>
      </c>
      <c r="E3" s="170">
        <v>1</v>
      </c>
      <c r="F3" s="170">
        <v>2</v>
      </c>
      <c r="G3" s="170">
        <v>3</v>
      </c>
      <c r="H3" s="170">
        <v>4</v>
      </c>
      <c r="I3" t="str">
        <f t="shared" ref="I3:I8" si="0">LOWER(SUBSTITUTE(TRIM(B3)," ",""))</f>
        <v>mediumpinetree</v>
      </c>
    </row>
    <row r="4" spans="1:9">
      <c r="A4">
        <v>3</v>
      </c>
      <c r="B4" t="s">
        <v>270</v>
      </c>
      <c r="C4" t="s">
        <v>272</v>
      </c>
      <c r="D4" s="204">
        <f>_xlfn.IFNA( INDEX(AllItems!$A$2:$A$1014,MATCH(C4,AllItems!$B$2:$B$1014,0)), 0)</f>
        <v>35</v>
      </c>
      <c r="E4" s="170">
        <v>2</v>
      </c>
      <c r="F4" s="170">
        <v>3</v>
      </c>
      <c r="G4" s="170">
        <v>4</v>
      </c>
      <c r="H4" s="170">
        <v>4</v>
      </c>
      <c r="I4" t="str">
        <f t="shared" si="0"/>
        <v>largepinetree</v>
      </c>
    </row>
    <row r="5" spans="1:9">
      <c r="A5">
        <v>4</v>
      </c>
      <c r="B5" s="201" t="s">
        <v>222</v>
      </c>
      <c r="C5" t="s">
        <v>194</v>
      </c>
      <c r="D5" s="204">
        <f>_xlfn.IFNA( INDEX(AllItems!$A$2:$A$1014,MATCH(C5,AllItems!$B$2:$B$1014,0)), 0)</f>
        <v>33</v>
      </c>
      <c r="E5" s="170">
        <v>1</v>
      </c>
      <c r="F5" s="170">
        <v>2</v>
      </c>
      <c r="G5" s="170">
        <v>8</v>
      </c>
      <c r="H5" s="170">
        <v>4</v>
      </c>
      <c r="I5" t="str">
        <f t="shared" si="0"/>
        <v>bigrock</v>
      </c>
    </row>
    <row r="6" spans="1:9">
      <c r="A6">
        <v>5</v>
      </c>
      <c r="B6" s="201" t="s">
        <v>216</v>
      </c>
      <c r="C6" t="s">
        <v>214</v>
      </c>
      <c r="D6" s="204">
        <f>_xlfn.IFNA( INDEX(AllItems!$A$2:$A$1014,MATCH(C6,AllItems!$B$2:$B$1014,0)), 0)</f>
        <v>38</v>
      </c>
      <c r="E6" s="170">
        <v>0</v>
      </c>
      <c r="F6" s="170">
        <v>1</v>
      </c>
      <c r="G6" s="170">
        <v>10</v>
      </c>
      <c r="H6" s="170">
        <v>4</v>
      </c>
      <c r="I6" t="str">
        <f t="shared" si="0"/>
        <v>clayrock</v>
      </c>
    </row>
    <row r="7" spans="1:9">
      <c r="A7">
        <v>6</v>
      </c>
      <c r="B7" t="s">
        <v>181</v>
      </c>
      <c r="C7" t="s">
        <v>272</v>
      </c>
      <c r="D7" s="204">
        <f>_xlfn.IFNA( INDEX(AllItems!$A$2:$A$1014,MATCH(C7,AllItems!$B$2:$B$1014,0)), 0)</f>
        <v>35</v>
      </c>
      <c r="E7" s="170">
        <v>1</v>
      </c>
      <c r="F7" s="170">
        <v>2</v>
      </c>
      <c r="G7" s="170">
        <v>5</v>
      </c>
      <c r="H7" s="170">
        <v>4</v>
      </c>
      <c r="I7" t="str">
        <f t="shared" si="0"/>
        <v>woodenbox</v>
      </c>
    </row>
    <row r="8" spans="1:9">
      <c r="A8">
        <v>7</v>
      </c>
      <c r="B8" t="s">
        <v>182</v>
      </c>
      <c r="C8" t="s">
        <v>272</v>
      </c>
      <c r="D8" s="204">
        <f>_xlfn.IFNA( INDEX(AllItems!$A$2:$A$1014,MATCH(C8,AllItems!$B$2:$B$1014,0)), 0)</f>
        <v>35</v>
      </c>
      <c r="E8" s="170">
        <v>1</v>
      </c>
      <c r="F8" s="170">
        <v>3</v>
      </c>
      <c r="G8" s="170">
        <v>10</v>
      </c>
      <c r="H8" s="170">
        <v>4</v>
      </c>
      <c r="I8" t="str">
        <f t="shared" si="0"/>
        <v>woodenbarrrel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7CEE0C-59BF-489A-9F54-49E6636767C9}">
          <x14:formula1>
            <xm:f>AllItems!$B$2:$B$510</xm:f>
          </x14:formula1>
          <xm:sqref>C2:C8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49DE5-3388-45AF-BCA6-C150858349CE}">
  <sheetPr codeName="Sheet6"/>
  <dimension ref="A1:I21"/>
  <sheetViews>
    <sheetView zoomScale="130" zoomScaleNormal="130" workbookViewId="0">
      <selection activeCell="C9" sqref="C9"/>
    </sheetView>
  </sheetViews>
  <sheetFormatPr defaultRowHeight="15"/>
  <cols>
    <col min="1" max="1" width="3" customWidth="1"/>
    <col min="2" max="2" width="15.140625" bestFit="1" customWidth="1"/>
    <col min="3" max="3" width="15.140625" customWidth="1"/>
    <col min="4" max="4" width="12.85546875" style="204" bestFit="1" customWidth="1"/>
    <col min="5" max="5" width="8.7109375" style="170" bestFit="1" customWidth="1"/>
    <col min="6" max="7" width="9" style="170" bestFit="1" customWidth="1"/>
    <col min="8" max="8" width="11.42578125" style="170" customWidth="1"/>
    <col min="9" max="9" width="14.42578125" bestFit="1" customWidth="1"/>
  </cols>
  <sheetData>
    <row r="1" spans="1:9">
      <c r="A1" t="s">
        <v>0</v>
      </c>
      <c r="B1" s="201" t="s">
        <v>1</v>
      </c>
      <c r="C1" s="201" t="s">
        <v>209</v>
      </c>
      <c r="D1" s="204" t="s">
        <v>81</v>
      </c>
      <c r="E1" s="170" t="s">
        <v>178</v>
      </c>
      <c r="F1" s="170" t="s">
        <v>179</v>
      </c>
      <c r="G1" s="170" t="s">
        <v>63</v>
      </c>
      <c r="H1" s="170" t="s">
        <v>180</v>
      </c>
      <c r="I1" t="s">
        <v>3</v>
      </c>
    </row>
    <row r="2" spans="1:9">
      <c r="A2">
        <v>1</v>
      </c>
      <c r="B2" t="s">
        <v>174</v>
      </c>
      <c r="D2" s="204">
        <f>_xlfn.IFNA( INDEX(AllItems!$A$2:$A$1014,MATCH(C2,AllItems!$B$2:$B$1014,0)), 0)</f>
        <v>0</v>
      </c>
      <c r="E2" s="170">
        <v>0</v>
      </c>
      <c r="F2" s="170">
        <v>0</v>
      </c>
      <c r="G2" s="170">
        <v>1</v>
      </c>
      <c r="H2" s="170">
        <v>0</v>
      </c>
      <c r="I2" t="str">
        <f>LOWER(SUBSTITUTE(TRIM(B2)," ",""))</f>
        <v>softrock</v>
      </c>
    </row>
    <row r="3" spans="1:9">
      <c r="A3">
        <v>2</v>
      </c>
      <c r="B3" t="s">
        <v>78</v>
      </c>
      <c r="C3" t="s">
        <v>194</v>
      </c>
      <c r="D3" s="204">
        <f>_xlfn.IFNA( INDEX(AllItems!$A$2:$A$1014,MATCH(C3,AllItems!$B$2:$B$1014,0)), 0)</f>
        <v>33</v>
      </c>
      <c r="E3" s="170">
        <v>0</v>
      </c>
      <c r="F3" s="170">
        <v>1</v>
      </c>
      <c r="G3" s="170">
        <v>2</v>
      </c>
      <c r="H3" s="170">
        <v>0</v>
      </c>
      <c r="I3" t="str">
        <f t="shared" ref="I3:I20" si="0">LOWER(SUBSTITUTE(TRIM(B3)," ",""))</f>
        <v>rock</v>
      </c>
    </row>
    <row r="4" spans="1:9">
      <c r="A4">
        <v>3</v>
      </c>
      <c r="B4" t="s">
        <v>175</v>
      </c>
      <c r="C4" t="s">
        <v>194</v>
      </c>
      <c r="D4" s="204">
        <f>_xlfn.IFNA( INDEX(AllItems!$A$2:$A$1014,MATCH(C4,AllItems!$B$2:$B$1014,0)), 0)</f>
        <v>33</v>
      </c>
      <c r="E4" s="170">
        <v>1</v>
      </c>
      <c r="F4" s="170">
        <v>1</v>
      </c>
      <c r="G4" s="170">
        <v>4</v>
      </c>
      <c r="H4" s="170">
        <v>1</v>
      </c>
      <c r="I4" t="str">
        <f t="shared" ref="I4:I5" si="1">LOWER(SUBSTITUTE(TRIM(B4)," ",""))</f>
        <v>hardrock</v>
      </c>
    </row>
    <row r="5" spans="1:9">
      <c r="A5">
        <v>4</v>
      </c>
      <c r="B5" s="201" t="s">
        <v>193</v>
      </c>
      <c r="C5" t="s">
        <v>195</v>
      </c>
      <c r="D5" s="204">
        <f>_xlfn.IFNA( INDEX(AllItems!$A$2:$A$1014,MATCH(C5,AllItems!$B$2:$B$1014,0)), 0)</f>
        <v>39</v>
      </c>
      <c r="E5" s="170">
        <v>1</v>
      </c>
      <c r="F5" s="170">
        <v>1</v>
      </c>
      <c r="G5" s="170">
        <v>6</v>
      </c>
      <c r="H5" s="170">
        <v>1</v>
      </c>
      <c r="I5" t="str">
        <f t="shared" si="1"/>
        <v>darkrock</v>
      </c>
    </row>
    <row r="6" spans="1:9">
      <c r="A6">
        <v>5</v>
      </c>
      <c r="B6" s="201" t="s">
        <v>222</v>
      </c>
      <c r="C6" t="s">
        <v>194</v>
      </c>
      <c r="D6" s="204">
        <f>_xlfn.IFNA( INDEX(AllItems!$A$2:$A$1014,MATCH(C6,AllItems!$B$2:$B$1014,0)), 0)</f>
        <v>33</v>
      </c>
      <c r="E6" s="170">
        <v>1</v>
      </c>
      <c r="F6" s="170">
        <v>2</v>
      </c>
      <c r="G6" s="170">
        <v>8</v>
      </c>
      <c r="H6" s="170">
        <v>1</v>
      </c>
      <c r="I6" t="str">
        <f t="shared" ref="I6" si="2">LOWER(SUBSTITUTE(TRIM(B6)," ",""))</f>
        <v>bigrock</v>
      </c>
    </row>
    <row r="7" spans="1:9">
      <c r="A7">
        <v>6</v>
      </c>
      <c r="B7" s="201" t="s">
        <v>216</v>
      </c>
      <c r="C7" t="s">
        <v>214</v>
      </c>
      <c r="D7" s="204">
        <f>_xlfn.IFNA( INDEX(AllItems!$A$2:$A$1014,MATCH(C7,AllItems!$B$2:$B$1014,0)), 0)</f>
        <v>38</v>
      </c>
      <c r="E7" s="170">
        <v>0</v>
      </c>
      <c r="F7" s="170">
        <v>1</v>
      </c>
      <c r="G7" s="170">
        <v>10</v>
      </c>
      <c r="H7" s="170">
        <v>1</v>
      </c>
      <c r="I7" t="str">
        <f t="shared" ref="I7" si="3">LOWER(SUBSTITUTE(TRIM(B7)," ",""))</f>
        <v>clayrock</v>
      </c>
    </row>
    <row r="8" spans="1:9">
      <c r="A8">
        <v>7</v>
      </c>
      <c r="B8" t="s">
        <v>80</v>
      </c>
      <c r="C8" t="s">
        <v>196</v>
      </c>
      <c r="D8" s="204">
        <f>_xlfn.IFNA( INDEX(AllItems!$A$2:$A$1014,MATCH(C8,AllItems!$B$2:$B$1014,0)), 0)</f>
        <v>40</v>
      </c>
      <c r="E8" s="170">
        <v>1</v>
      </c>
      <c r="F8" s="170">
        <v>3</v>
      </c>
      <c r="G8" s="170">
        <v>12</v>
      </c>
      <c r="H8" s="170">
        <v>1</v>
      </c>
      <c r="I8" t="str">
        <f t="shared" si="0"/>
        <v>copperrock</v>
      </c>
    </row>
    <row r="9" spans="1:9">
      <c r="A9">
        <v>8</v>
      </c>
      <c r="B9" t="s">
        <v>79</v>
      </c>
      <c r="C9" t="s">
        <v>198</v>
      </c>
      <c r="D9" s="204">
        <f>_xlfn.IFNA( INDEX(AllItems!$A$2:$A$1014,MATCH(C9,AllItems!$B$2:$B$1014,0)), 0)</f>
        <v>42</v>
      </c>
      <c r="E9" s="170">
        <v>1</v>
      </c>
      <c r="F9" s="170">
        <v>2</v>
      </c>
      <c r="G9" s="170">
        <v>14</v>
      </c>
      <c r="H9" s="170">
        <v>2</v>
      </c>
      <c r="I9" t="str">
        <f t="shared" si="0"/>
        <v>ironrock</v>
      </c>
    </row>
    <row r="10" spans="1:9">
      <c r="A10">
        <v>9</v>
      </c>
      <c r="B10" s="201" t="s">
        <v>188</v>
      </c>
      <c r="C10" t="s">
        <v>200</v>
      </c>
      <c r="D10" s="204">
        <f>_xlfn.IFNA( INDEX(AllItems!$A$2:$A$1014,MATCH(C10,AllItems!$B$2:$B$1014,0)), 0)</f>
        <v>44</v>
      </c>
      <c r="E10" s="170">
        <v>1</v>
      </c>
      <c r="F10" s="170">
        <v>2</v>
      </c>
      <c r="G10" s="170">
        <v>16</v>
      </c>
      <c r="H10" s="170">
        <v>3</v>
      </c>
      <c r="I10" t="str">
        <f t="shared" ref="I10" si="4">LOWER(SUBSTITUTE(TRIM(B10)," ",""))</f>
        <v>silverrock</v>
      </c>
    </row>
    <row r="11" spans="1:9">
      <c r="A11">
        <v>10</v>
      </c>
      <c r="B11" t="s">
        <v>176</v>
      </c>
      <c r="C11" t="s">
        <v>201</v>
      </c>
      <c r="D11" s="204">
        <f>_xlfn.IFNA( INDEX(AllItems!$A$2:$A$1014,MATCH(C11,AllItems!$B$2:$B$1014,0)), 0)</f>
        <v>46</v>
      </c>
      <c r="E11" s="170">
        <v>1</v>
      </c>
      <c r="F11" s="170">
        <v>2</v>
      </c>
      <c r="G11" s="170">
        <v>22</v>
      </c>
      <c r="H11" s="170">
        <v>3</v>
      </c>
      <c r="I11" t="str">
        <f t="shared" ref="I11" si="5">LOWER(SUBSTITUTE(TRIM(B11)," ",""))</f>
        <v>goldrock</v>
      </c>
    </row>
    <row r="12" spans="1:9">
      <c r="A12">
        <v>11</v>
      </c>
      <c r="B12" t="s">
        <v>82</v>
      </c>
      <c r="C12" t="s">
        <v>210</v>
      </c>
      <c r="D12" s="204">
        <f>_xlfn.IFNA( INDEX(AllItems!$A$2:$A$1014,MATCH(C12,AllItems!$B$2:$B$1014,0)), 0)</f>
        <v>48</v>
      </c>
      <c r="E12" s="170">
        <v>1</v>
      </c>
      <c r="F12" s="170">
        <v>1</v>
      </c>
      <c r="G12" s="170">
        <v>65</v>
      </c>
      <c r="H12" s="170">
        <v>0</v>
      </c>
      <c r="I12" t="str">
        <f t="shared" si="0"/>
        <v>gemrock</v>
      </c>
    </row>
    <row r="13" spans="1:9">
      <c r="A13">
        <v>12</v>
      </c>
      <c r="B13" t="s">
        <v>181</v>
      </c>
      <c r="C13" t="s">
        <v>211</v>
      </c>
      <c r="D13" s="204">
        <f>_xlfn.IFNA( INDEX(AllItems!$A$2:$A$1014,MATCH(C13,AllItems!$B$2:$B$1014,0)), 0)</f>
        <v>0</v>
      </c>
      <c r="E13" s="170">
        <v>1</v>
      </c>
      <c r="F13" s="170">
        <v>2</v>
      </c>
      <c r="G13" s="170">
        <v>5</v>
      </c>
      <c r="H13" s="170">
        <v>1</v>
      </c>
      <c r="I13" t="str">
        <f t="shared" si="0"/>
        <v>woodenbox</v>
      </c>
    </row>
    <row r="14" spans="1:9">
      <c r="A14">
        <v>13</v>
      </c>
      <c r="B14" t="s">
        <v>182</v>
      </c>
      <c r="C14" t="s">
        <v>211</v>
      </c>
      <c r="D14" s="204">
        <f>_xlfn.IFNA( INDEX(AllItems!$A$2:$A$1014,MATCH(C14,AllItems!$B$2:$B$1014,0)), 0)</f>
        <v>0</v>
      </c>
      <c r="E14" s="170">
        <v>1</v>
      </c>
      <c r="F14" s="170">
        <v>3</v>
      </c>
      <c r="G14" s="170">
        <v>10</v>
      </c>
      <c r="H14" s="170">
        <v>1</v>
      </c>
      <c r="I14" t="str">
        <f t="shared" si="0"/>
        <v>woodenbarrrel</v>
      </c>
    </row>
    <row r="15" spans="1:9">
      <c r="A15">
        <v>14</v>
      </c>
      <c r="B15" t="s">
        <v>183</v>
      </c>
      <c r="C15" t="s">
        <v>184</v>
      </c>
      <c r="D15" s="204">
        <f>_xlfn.IFNA( INDEX(AllItems!$A$2:$A$1014,MATCH(C15,AllItems!$B$2:$B$1014,0)), 0)</f>
        <v>51</v>
      </c>
      <c r="E15" s="170">
        <v>1</v>
      </c>
      <c r="F15" s="170">
        <v>1</v>
      </c>
      <c r="G15" s="170">
        <v>35</v>
      </c>
      <c r="H15" s="170">
        <v>2</v>
      </c>
      <c r="I15" t="str">
        <f t="shared" si="0"/>
        <v>emeraldrock</v>
      </c>
    </row>
    <row r="16" spans="1:9">
      <c r="A16">
        <v>15</v>
      </c>
      <c r="B16" s="201" t="s">
        <v>192</v>
      </c>
      <c r="C16" t="s">
        <v>217</v>
      </c>
      <c r="D16" s="204">
        <f>_xlfn.IFNA( INDEX(AllItems!$A$2:$A$1014,MATCH(C16,AllItems!$B$2:$B$1014,0)), 0)</f>
        <v>50</v>
      </c>
      <c r="E16" s="170">
        <v>1</v>
      </c>
      <c r="F16" s="170">
        <v>1</v>
      </c>
      <c r="G16" s="170">
        <v>20</v>
      </c>
      <c r="H16" s="170">
        <v>2</v>
      </c>
      <c r="I16" t="str">
        <f t="shared" si="0"/>
        <v>quartzrock</v>
      </c>
    </row>
    <row r="17" spans="1:9">
      <c r="A17">
        <v>16</v>
      </c>
      <c r="B17" s="201" t="s">
        <v>219</v>
      </c>
      <c r="C17" t="s">
        <v>220</v>
      </c>
      <c r="D17" s="204">
        <f>_xlfn.IFNA( INDEX(AllItems!$A$2:$A$1014,MATCH(C17,AllItems!$B$2:$B$1014,0)), 0)</f>
        <v>49</v>
      </c>
      <c r="E17" s="170">
        <v>1</v>
      </c>
      <c r="F17" s="170">
        <v>1</v>
      </c>
      <c r="G17" s="170">
        <v>20</v>
      </c>
      <c r="H17" s="170">
        <v>3</v>
      </c>
      <c r="I17" t="str">
        <f t="shared" si="0"/>
        <v>diamondrock</v>
      </c>
    </row>
    <row r="18" spans="1:9">
      <c r="A18">
        <v>17</v>
      </c>
      <c r="B18" s="201" t="s">
        <v>189</v>
      </c>
      <c r="C18" t="s">
        <v>185</v>
      </c>
      <c r="D18" s="204">
        <f>_xlfn.IFNA( INDEX(AllItems!$A$2:$A$1014,MATCH(C18,AllItems!$B$2:$B$1014,0)), 0)</f>
        <v>52</v>
      </c>
      <c r="E18" s="170">
        <v>1</v>
      </c>
      <c r="F18" s="170">
        <v>1</v>
      </c>
      <c r="G18" s="170">
        <v>20</v>
      </c>
      <c r="H18" s="170">
        <v>4</v>
      </c>
      <c r="I18" t="str">
        <f t="shared" si="0"/>
        <v>sapphirerock</v>
      </c>
    </row>
    <row r="19" spans="1:9">
      <c r="A19">
        <v>18</v>
      </c>
      <c r="B19" s="201" t="s">
        <v>190</v>
      </c>
      <c r="C19" t="s">
        <v>186</v>
      </c>
      <c r="D19" s="204">
        <f>_xlfn.IFNA( INDEX(AllItems!$A$2:$A$1014,MATCH(C19,AllItems!$B$2:$B$1014,0)), 0)</f>
        <v>53</v>
      </c>
      <c r="E19" s="170">
        <v>1</v>
      </c>
      <c r="F19" s="170">
        <v>1</v>
      </c>
      <c r="G19" s="170">
        <v>20</v>
      </c>
      <c r="H19" s="170">
        <v>4</v>
      </c>
      <c r="I19" t="str">
        <f t="shared" si="0"/>
        <v>rubyrock</v>
      </c>
    </row>
    <row r="20" spans="1:9">
      <c r="A20">
        <v>19</v>
      </c>
      <c r="B20" s="201" t="s">
        <v>191</v>
      </c>
      <c r="C20" t="s">
        <v>187</v>
      </c>
      <c r="D20" s="204">
        <f>_xlfn.IFNA( INDEX(AllItems!$A$2:$A$1014,MATCH(C20,AllItems!$B$2:$B$1014,0)), 0)</f>
        <v>54</v>
      </c>
      <c r="E20" s="170">
        <v>1</v>
      </c>
      <c r="F20" s="170">
        <v>1</v>
      </c>
      <c r="G20" s="170">
        <v>20</v>
      </c>
      <c r="H20" s="170">
        <v>3</v>
      </c>
      <c r="I20" t="str">
        <f t="shared" si="0"/>
        <v>amethystrock</v>
      </c>
    </row>
    <row r="21" spans="1:9">
      <c r="A21">
        <v>20</v>
      </c>
      <c r="B21" t="s">
        <v>177</v>
      </c>
      <c r="C21" t="s">
        <v>218</v>
      </c>
      <c r="D21" s="204">
        <f>_xlfn.IFNA( INDEX(AllItems!$A$2:$A$1014,MATCH(C21,AllItems!$B$2:$B$1014,0)), 0)</f>
        <v>55</v>
      </c>
      <c r="E21" s="170">
        <v>1</v>
      </c>
      <c r="F21" s="170">
        <v>1</v>
      </c>
      <c r="G21" s="170">
        <v>7</v>
      </c>
      <c r="H21" s="170">
        <v>0</v>
      </c>
      <c r="I21" t="str">
        <f>LOWER(SUBSTITUTE(TRIM(B21)," ",""))</f>
        <v>crystalrock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780E25-878E-4EC4-91DD-9127865F9EA7}">
          <x14:formula1>
            <xm:f>AllItems!$B$2:$B$510</xm:f>
          </x14:formula1>
          <xm:sqref>C2:C21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A2C29-5719-4024-89E3-FF0A506F85BE}">
  <sheetPr codeName="Sheet10"/>
  <dimension ref="A1:S6"/>
  <sheetViews>
    <sheetView zoomScale="130" zoomScaleNormal="130" workbookViewId="0">
      <selection activeCell="K2" sqref="K2"/>
    </sheetView>
  </sheetViews>
  <sheetFormatPr defaultRowHeight="15"/>
  <cols>
    <col min="1" max="1" width="3" customWidth="1"/>
    <col min="2" max="2" width="12.28515625" bestFit="1" customWidth="1"/>
    <col min="3" max="3" width="12.42578125" bestFit="1" customWidth="1"/>
    <col min="4" max="4" width="4.140625" style="204" customWidth="1"/>
    <col min="5" max="5" width="8.7109375" style="170" bestFit="1" customWidth="1"/>
    <col min="6" max="6" width="9" style="170" bestFit="1" customWidth="1"/>
    <col min="7" max="7" width="13.5703125" style="170" bestFit="1" customWidth="1"/>
    <col min="8" max="8" width="9" style="170" bestFit="1" customWidth="1"/>
    <col min="9" max="9" width="18.28515625" style="170" bestFit="1" customWidth="1"/>
    <col min="10" max="10" width="13.7109375" style="170" bestFit="1" customWidth="1"/>
    <col min="11" max="11" width="8" style="170" bestFit="1" customWidth="1"/>
    <col min="12" max="12" width="18" style="170" bestFit="1" customWidth="1"/>
    <col min="13" max="13" width="11.140625" style="170" bestFit="1" customWidth="1"/>
    <col min="14" max="14" width="12.140625" style="170" bestFit="1" customWidth="1"/>
    <col min="15" max="15" width="11.42578125" style="170" bestFit="1" customWidth="1"/>
    <col min="16" max="16" width="10.7109375" style="170" bestFit="1" customWidth="1"/>
    <col min="17" max="17" width="6.7109375" style="170" bestFit="1" customWidth="1"/>
    <col min="18" max="18" width="8.5703125" style="170" bestFit="1" customWidth="1"/>
    <col min="19" max="19" width="14.42578125" bestFit="1" customWidth="1"/>
  </cols>
  <sheetData>
    <row r="1" spans="1:19">
      <c r="A1" t="s">
        <v>0</v>
      </c>
      <c r="B1" s="201" t="s">
        <v>1</v>
      </c>
      <c r="C1" s="205" t="s">
        <v>225</v>
      </c>
      <c r="D1" s="204" t="s">
        <v>81</v>
      </c>
      <c r="E1" s="170" t="s">
        <v>178</v>
      </c>
      <c r="F1" s="170" t="s">
        <v>179</v>
      </c>
      <c r="G1" s="170" t="s">
        <v>253</v>
      </c>
      <c r="H1" s="170" t="s">
        <v>254</v>
      </c>
      <c r="I1" s="170" t="s">
        <v>255</v>
      </c>
      <c r="J1" s="170" t="s">
        <v>256</v>
      </c>
      <c r="K1" s="170" t="s">
        <v>257</v>
      </c>
      <c r="L1" s="170" t="s">
        <v>258</v>
      </c>
      <c r="M1" s="170" t="s">
        <v>259</v>
      </c>
      <c r="N1" s="170" t="s">
        <v>260</v>
      </c>
      <c r="O1" s="170" t="s">
        <v>261</v>
      </c>
      <c r="P1" s="170" t="s">
        <v>262</v>
      </c>
      <c r="Q1" s="170" t="s">
        <v>229</v>
      </c>
      <c r="R1" s="170" t="s">
        <v>224</v>
      </c>
      <c r="S1" t="s">
        <v>3</v>
      </c>
    </row>
    <row r="2" spans="1:19">
      <c r="A2">
        <v>1</v>
      </c>
      <c r="B2" t="s">
        <v>227</v>
      </c>
      <c r="C2" t="s">
        <v>194</v>
      </c>
      <c r="D2" s="204">
        <f>_xlfn.IFNA( INDEX(AllItems!$A$2:$A$1014,MATCH(C2,AllItems!$B$2:$B$1014,0)), 0)</f>
        <v>33</v>
      </c>
      <c r="E2" s="170">
        <v>0</v>
      </c>
      <c r="F2" s="170">
        <v>1</v>
      </c>
      <c r="G2" s="170" t="s">
        <v>265</v>
      </c>
      <c r="H2" s="170" t="s">
        <v>267</v>
      </c>
      <c r="I2" s="170">
        <v>1.5</v>
      </c>
      <c r="J2" s="170">
        <v>3</v>
      </c>
      <c r="K2" s="170">
        <v>5</v>
      </c>
      <c r="L2" s="170">
        <v>0.5</v>
      </c>
      <c r="M2" s="170">
        <v>5</v>
      </c>
      <c r="N2" s="170">
        <v>3</v>
      </c>
      <c r="O2" s="170">
        <v>1</v>
      </c>
      <c r="P2" s="170">
        <v>2.5</v>
      </c>
      <c r="Q2" s="170">
        <v>20</v>
      </c>
      <c r="R2" s="170">
        <v>10</v>
      </c>
      <c r="S2" t="str">
        <f>LOWER(SUBSTITUTE(TRIM(B2)," ",""))</f>
        <v>greenslime</v>
      </c>
    </row>
    <row r="3" spans="1:19">
      <c r="A3">
        <v>2</v>
      </c>
      <c r="B3" t="s">
        <v>226</v>
      </c>
      <c r="C3" t="s">
        <v>194</v>
      </c>
      <c r="D3" s="204">
        <f>_xlfn.IFNA( INDEX(AllItems!$A$2:$A$1014,MATCH(C3,AllItems!$B$2:$B$1014,0)), 0)</f>
        <v>33</v>
      </c>
      <c r="E3" s="170">
        <v>0</v>
      </c>
      <c r="F3" s="170">
        <v>1</v>
      </c>
      <c r="G3" s="170" t="s">
        <v>265</v>
      </c>
      <c r="H3" s="170" t="s">
        <v>267</v>
      </c>
      <c r="I3" s="170">
        <v>1.5</v>
      </c>
      <c r="J3" s="170">
        <v>3</v>
      </c>
      <c r="K3" s="170">
        <v>5</v>
      </c>
      <c r="L3" s="170">
        <v>0.5</v>
      </c>
      <c r="M3" s="170">
        <v>5</v>
      </c>
      <c r="N3" s="170">
        <v>3</v>
      </c>
      <c r="O3" s="170">
        <v>1</v>
      </c>
      <c r="P3" s="170">
        <v>2.5</v>
      </c>
      <c r="Q3" s="170">
        <v>10</v>
      </c>
      <c r="R3" s="170">
        <v>10</v>
      </c>
      <c r="S3" t="str">
        <f t="shared" ref="S3:S4" si="0">LOWER(SUBSTITUTE(TRIM(B3)," ",""))</f>
        <v>smallslime</v>
      </c>
    </row>
    <row r="4" spans="1:19">
      <c r="A4">
        <v>3</v>
      </c>
      <c r="B4" t="s">
        <v>228</v>
      </c>
      <c r="C4" t="s">
        <v>194</v>
      </c>
      <c r="D4" s="204">
        <f>_xlfn.IFNA( INDEX(AllItems!$A$2:$A$1014,MATCH(C4,AllItems!$B$2:$B$1014,0)), 0)</f>
        <v>33</v>
      </c>
      <c r="E4" s="170">
        <v>0</v>
      </c>
      <c r="F4" s="170">
        <v>1</v>
      </c>
      <c r="G4" s="170" t="s">
        <v>265</v>
      </c>
      <c r="H4" s="170" t="s">
        <v>267</v>
      </c>
      <c r="I4" s="170">
        <v>1.5</v>
      </c>
      <c r="J4" s="170">
        <v>3</v>
      </c>
      <c r="K4" s="170">
        <v>5</v>
      </c>
      <c r="L4" s="170">
        <v>0.5</v>
      </c>
      <c r="M4" s="170">
        <v>5</v>
      </c>
      <c r="N4" s="170">
        <v>3</v>
      </c>
      <c r="O4" s="170">
        <v>1</v>
      </c>
      <c r="P4" s="170">
        <v>2.5</v>
      </c>
      <c r="Q4" s="170">
        <v>35</v>
      </c>
      <c r="R4" s="170">
        <v>10</v>
      </c>
      <c r="S4" t="str">
        <f t="shared" si="0"/>
        <v>purpleslime</v>
      </c>
    </row>
    <row r="5" spans="1:19">
      <c r="A5">
        <v>4</v>
      </c>
      <c r="B5" t="s">
        <v>273</v>
      </c>
      <c r="C5" t="s">
        <v>194</v>
      </c>
      <c r="D5" s="204">
        <f>_xlfn.IFNA( INDEX(AllItems!$A$2:$A$1014,MATCH(C5,AllItems!$B$2:$B$1014,0)), 0)</f>
        <v>33</v>
      </c>
      <c r="E5" s="170">
        <v>0</v>
      </c>
      <c r="F5" s="170">
        <v>1</v>
      </c>
      <c r="G5" s="170" t="s">
        <v>265</v>
      </c>
      <c r="H5" s="170" t="s">
        <v>267</v>
      </c>
      <c r="I5" s="170">
        <v>1</v>
      </c>
      <c r="J5" s="170">
        <v>3</v>
      </c>
      <c r="K5" s="170">
        <v>5</v>
      </c>
      <c r="L5" s="170">
        <v>0.5</v>
      </c>
      <c r="M5" s="170">
        <v>5</v>
      </c>
      <c r="N5" s="170">
        <v>3</v>
      </c>
      <c r="O5" s="170">
        <v>1</v>
      </c>
      <c r="P5" s="170">
        <v>2.5</v>
      </c>
      <c r="Q5" s="170">
        <v>35</v>
      </c>
      <c r="R5" s="170">
        <v>10</v>
      </c>
      <c r="S5" t="str">
        <f t="shared" ref="S5" si="1">LOWER(SUBSTITUTE(TRIM(B5)," ",""))</f>
        <v>bat</v>
      </c>
    </row>
    <row r="6" spans="1:19">
      <c r="A6">
        <v>5</v>
      </c>
      <c r="B6" t="s">
        <v>274</v>
      </c>
      <c r="C6" t="s">
        <v>194</v>
      </c>
      <c r="D6" s="204">
        <f>_xlfn.IFNA( INDEX(AllItems!$A$2:$A$1014,MATCH(C6,AllItems!$B$2:$B$1014,0)), 0)</f>
        <v>33</v>
      </c>
      <c r="E6" s="170">
        <v>0</v>
      </c>
      <c r="F6" s="170">
        <v>1</v>
      </c>
      <c r="G6" s="170" t="s">
        <v>265</v>
      </c>
      <c r="H6" s="170" t="s">
        <v>267</v>
      </c>
      <c r="I6" s="170">
        <v>0.75</v>
      </c>
      <c r="J6" s="170">
        <v>5</v>
      </c>
      <c r="K6" s="170">
        <v>6</v>
      </c>
      <c r="L6" s="170">
        <v>0.5</v>
      </c>
      <c r="M6" s="170">
        <v>6</v>
      </c>
      <c r="N6" s="170">
        <v>3</v>
      </c>
      <c r="O6" s="170">
        <v>1.5</v>
      </c>
      <c r="P6" s="170">
        <v>3</v>
      </c>
      <c r="Q6" s="170">
        <v>50</v>
      </c>
      <c r="R6" s="170">
        <v>10</v>
      </c>
      <c r="S6" t="str">
        <f t="shared" ref="S6" si="2">LOWER(SUBSTITUTE(TRIM(B6)," ",""))</f>
        <v>tarantula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9C2D94C-6D8F-4B25-98BC-F912482B7252}">
          <x14:formula1>
            <xm:f>ZConfig!$J$2:$J$9</xm:f>
          </x14:formula1>
          <xm:sqref>G2:G6</xm:sqref>
        </x14:dataValidation>
        <x14:dataValidation type="list" allowBlank="1" showInputMessage="1" showErrorMessage="1" xr:uid="{287BD963-36F6-4968-AF14-AA0E0BF519DC}">
          <x14:formula1>
            <xm:f>ZConfig!$K$2:$K$9</xm:f>
          </x14:formula1>
          <xm:sqref>H2:H6</xm:sqref>
        </x14:dataValidation>
        <x14:dataValidation type="list" allowBlank="1" showInputMessage="1" showErrorMessage="1" xr:uid="{61F34241-A625-4D55-A9F8-FAB51BE19CD5}">
          <x14:formula1>
            <xm:f>AllItems!$B$2:$B$510</xm:f>
          </x14:formula1>
          <xm:sqref>C2:C6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4B7E-BF3D-4235-8D4B-06BF302D0DB3}">
  <sheetPr codeName="Sheet12"/>
  <dimension ref="A1:AT6"/>
  <sheetViews>
    <sheetView zoomScale="130" zoomScaleNormal="130" workbookViewId="0">
      <selection activeCell="B5" sqref="B5:B6"/>
    </sheetView>
  </sheetViews>
  <sheetFormatPr defaultRowHeight="15"/>
  <cols>
    <col min="1" max="1" width="7.140625" style="170" bestFit="1" customWidth="1"/>
    <col min="2" max="2" width="14.7109375" style="170" bestFit="1" customWidth="1"/>
    <col min="3" max="3" width="9.28515625" style="169" bestFit="1" customWidth="1"/>
    <col min="4" max="4" width="14.85546875" style="170" bestFit="1" customWidth="1"/>
    <col min="5" max="5" width="3.85546875" style="204" customWidth="1"/>
    <col min="6" max="6" width="7.85546875" style="170" bestFit="1" customWidth="1"/>
    <col min="7" max="7" width="12.85546875" style="170" bestFit="1" customWidth="1"/>
    <col min="8" max="8" width="3.85546875" style="204" customWidth="1"/>
    <col min="9" max="9" width="7.85546875" style="170" bestFit="1" customWidth="1"/>
    <col min="10" max="10" width="14.7109375" style="170" bestFit="1" customWidth="1"/>
    <col min="11" max="11" width="3.85546875" style="204" customWidth="1"/>
    <col min="12" max="12" width="7.85546875" style="170" bestFit="1" customWidth="1"/>
    <col min="13" max="13" width="9" style="170" bestFit="1" customWidth="1"/>
    <col min="14" max="14" width="3.85546875" style="204" customWidth="1"/>
    <col min="15" max="15" width="7.85546875" style="170" bestFit="1" customWidth="1"/>
    <col min="16" max="16" width="9" style="170" bestFit="1" customWidth="1"/>
    <col min="17" max="17" width="3.85546875" style="204" customWidth="1"/>
    <col min="18" max="18" width="7.85546875" style="170" bestFit="1" customWidth="1"/>
    <col min="19" max="19" width="9" style="170" bestFit="1" customWidth="1"/>
    <col min="20" max="20" width="3.85546875" style="204" customWidth="1"/>
    <col min="21" max="21" width="7.85546875" style="170" bestFit="1" customWidth="1"/>
    <col min="22" max="22" width="9" style="170" bestFit="1" customWidth="1"/>
    <col min="23" max="23" width="3.85546875" style="204" customWidth="1"/>
    <col min="24" max="24" width="7.85546875" style="170" bestFit="1" customWidth="1"/>
    <col min="25" max="25" width="9.140625" style="40"/>
    <col min="26" max="26" width="11.85546875" bestFit="1" customWidth="1"/>
    <col min="27" max="27" width="3.7109375" bestFit="1" customWidth="1"/>
    <col min="28" max="28" width="6.140625" bestFit="1" customWidth="1"/>
    <col min="29" max="29" width="7" bestFit="1" customWidth="1"/>
    <col min="30" max="30" width="3.7109375" bestFit="1" customWidth="1"/>
    <col min="31" max="31" width="6.140625" bestFit="1" customWidth="1"/>
    <col min="32" max="32" width="7" bestFit="1" customWidth="1"/>
    <col min="33" max="33" width="3.7109375" bestFit="1" customWidth="1"/>
    <col min="34" max="34" width="6.140625" bestFit="1" customWidth="1"/>
    <col min="35" max="35" width="7" bestFit="1" customWidth="1"/>
    <col min="36" max="36" width="3.7109375" bestFit="1" customWidth="1"/>
    <col min="37" max="37" width="6.140625" bestFit="1" customWidth="1"/>
    <col min="38" max="38" width="7" bestFit="1" customWidth="1"/>
    <col min="39" max="39" width="3.7109375" bestFit="1" customWidth="1"/>
    <col min="40" max="40" width="6.140625" bestFit="1" customWidth="1"/>
    <col min="41" max="41" width="7" bestFit="1" customWidth="1"/>
    <col min="42" max="42" width="3.7109375" bestFit="1" customWidth="1"/>
    <col min="43" max="43" width="6.140625" bestFit="1" customWidth="1"/>
    <col min="44" max="44" width="7" bestFit="1" customWidth="1"/>
    <col min="45" max="45" width="3.7109375" bestFit="1" customWidth="1"/>
    <col min="46" max="46" width="6.140625" bestFit="1" customWidth="1"/>
  </cols>
  <sheetData>
    <row r="1" spans="1:46">
      <c r="A1" s="203" t="s">
        <v>205</v>
      </c>
      <c r="B1" s="203" t="s">
        <v>221</v>
      </c>
      <c r="C1" s="169" t="s">
        <v>206</v>
      </c>
      <c r="D1" s="207" t="s">
        <v>230</v>
      </c>
      <c r="E1" s="204" t="s">
        <v>231</v>
      </c>
      <c r="F1" s="207" t="s">
        <v>232</v>
      </c>
      <c r="G1" s="207" t="s">
        <v>233</v>
      </c>
      <c r="H1" s="204" t="s">
        <v>234</v>
      </c>
      <c r="I1" s="207" t="s">
        <v>235</v>
      </c>
      <c r="J1" s="207" t="s">
        <v>236</v>
      </c>
      <c r="K1" s="204" t="s">
        <v>237</v>
      </c>
      <c r="L1" s="207" t="s">
        <v>238</v>
      </c>
      <c r="M1" s="207" t="s">
        <v>239</v>
      </c>
      <c r="N1" s="204" t="s">
        <v>240</v>
      </c>
      <c r="O1" s="207" t="s">
        <v>241</v>
      </c>
      <c r="P1" s="207" t="s">
        <v>242</v>
      </c>
      <c r="Q1" s="204" t="s">
        <v>243</v>
      </c>
      <c r="R1" s="207" t="s">
        <v>244</v>
      </c>
      <c r="S1" s="207" t="s">
        <v>245</v>
      </c>
      <c r="T1" s="204" t="s">
        <v>246</v>
      </c>
      <c r="U1" s="207" t="s">
        <v>247</v>
      </c>
      <c r="V1" s="207" t="s">
        <v>248</v>
      </c>
      <c r="W1" s="204" t="s">
        <v>249</v>
      </c>
      <c r="X1" s="207" t="s">
        <v>250</v>
      </c>
      <c r="Y1" s="44" t="s">
        <v>223</v>
      </c>
      <c r="Z1" s="207" t="s">
        <v>230</v>
      </c>
      <c r="AA1" s="204" t="s">
        <v>231</v>
      </c>
      <c r="AB1" s="207" t="s">
        <v>232</v>
      </c>
      <c r="AC1" s="207" t="s">
        <v>233</v>
      </c>
      <c r="AD1" s="204" t="s">
        <v>234</v>
      </c>
      <c r="AE1" s="207" t="s">
        <v>235</v>
      </c>
      <c r="AF1" s="207" t="s">
        <v>236</v>
      </c>
      <c r="AG1" s="204" t="s">
        <v>237</v>
      </c>
      <c r="AH1" s="207" t="s">
        <v>238</v>
      </c>
      <c r="AI1" s="207" t="s">
        <v>239</v>
      </c>
      <c r="AJ1" s="204" t="s">
        <v>240</v>
      </c>
      <c r="AK1" s="207" t="s">
        <v>241</v>
      </c>
      <c r="AL1" s="207" t="s">
        <v>242</v>
      </c>
      <c r="AM1" s="204" t="s">
        <v>243</v>
      </c>
      <c r="AN1" s="207" t="s">
        <v>244</v>
      </c>
      <c r="AO1" s="207" t="s">
        <v>245</v>
      </c>
      <c r="AP1" s="204" t="s">
        <v>246</v>
      </c>
      <c r="AQ1" s="207" t="s">
        <v>247</v>
      </c>
      <c r="AR1" s="207" t="s">
        <v>248</v>
      </c>
      <c r="AS1" s="204" t="s">
        <v>249</v>
      </c>
      <c r="AT1" s="207" t="s">
        <v>250</v>
      </c>
    </row>
    <row r="2" spans="1:46">
      <c r="A2" s="170">
        <v>1</v>
      </c>
      <c r="B2" s="170">
        <v>1</v>
      </c>
      <c r="C2" s="169">
        <f>SUM(F2,I2,L2,O2,R2,U2,X2)</f>
        <v>0.18000000000000002</v>
      </c>
      <c r="D2" s="170" t="s">
        <v>268</v>
      </c>
      <c r="E2" s="204">
        <f>_xlfn.IFNA(INDEX(ForestObjects!$A$2:$A$1004,MATCH(D2,ForestObjects!$B$2:$B$1004,0)), 0)</f>
        <v>1</v>
      </c>
      <c r="F2" s="170">
        <v>0.1</v>
      </c>
      <c r="G2" s="170" t="s">
        <v>269</v>
      </c>
      <c r="H2" s="204">
        <f>_xlfn.IFNA(INDEX(ForestObjects!$A$2:$A$1004,MATCH(G2,ForestObjects!$B$2:$B$1004,0)), 0)</f>
        <v>2</v>
      </c>
      <c r="I2" s="170">
        <v>0.05</v>
      </c>
      <c r="J2" s="170" t="s">
        <v>270</v>
      </c>
      <c r="K2" s="204">
        <f>_xlfn.IFNA(INDEX(ForestObjects!$A$2:$A$1004,MATCH(J2,ForestObjects!$B$2:$B$1004,0)), 0)</f>
        <v>3</v>
      </c>
      <c r="L2" s="170">
        <v>0.03</v>
      </c>
      <c r="N2" s="204">
        <f>_xlfn.IFNA(INDEX(ForestObjects!$A$2:$A$1004,MATCH(M2,ForestObjects!$B$2:$B$1004,0)), 0)</f>
        <v>0</v>
      </c>
      <c r="O2" s="170">
        <v>0</v>
      </c>
      <c r="Q2" s="204">
        <f>_xlfn.IFNA(INDEX(ForestObjects!$A$2:$A$1004,MATCH(P2,ForestObjects!$B$2:$B$1004,0)), 0)</f>
        <v>0</v>
      </c>
      <c r="R2" s="170">
        <v>0</v>
      </c>
      <c r="T2" s="204">
        <f>_xlfn.IFNA(INDEX(ForestObjects!$A$2:$A$1004,MATCH(S2,ForestObjects!$B$2:$B$1004,0)), 0)</f>
        <v>0</v>
      </c>
      <c r="U2" s="170">
        <v>0</v>
      </c>
      <c r="W2" s="204">
        <f>_xlfn.IFNA(INDEX(ForestObjects!$A$2:$A$1004,MATCH(V2,ForestObjects!$B$2:$B$1004,0)), 0)</f>
        <v>0</v>
      </c>
      <c r="X2" s="170">
        <v>0</v>
      </c>
      <c r="Y2" s="40">
        <f>SUM(AB2, AE2,AH2,AK2,AN2,AQ2,AT2)</f>
        <v>0.2</v>
      </c>
      <c r="Z2" s="206" t="s">
        <v>227</v>
      </c>
      <c r="AA2" s="204">
        <f>_xlfn.IFNA( INDEX(Monsters!$A$2:$A$1007,MATCH(Z2,Monsters!$B$2:$B$1007,0)), 0)</f>
        <v>1</v>
      </c>
      <c r="AB2" s="170">
        <v>0.1</v>
      </c>
      <c r="AC2" s="206" t="s">
        <v>274</v>
      </c>
      <c r="AD2" s="204">
        <f>_xlfn.IFNA( INDEX(Monsters!$A$2:$A$1007,MATCH(AC2,Monsters!$B$2:$B$1007,0)), 0)</f>
        <v>5</v>
      </c>
      <c r="AE2" s="170">
        <v>0.1</v>
      </c>
      <c r="AF2" s="206"/>
      <c r="AG2" s="204">
        <f>_xlfn.IFNA( INDEX(Monsters!$A$2:$A$1007,MATCH(AF2,Monsters!$B$2:$B$1007,0)), 0)</f>
        <v>0</v>
      </c>
      <c r="AH2" s="170">
        <v>0</v>
      </c>
      <c r="AI2" s="206"/>
      <c r="AJ2" s="204">
        <f>_xlfn.IFNA( INDEX(Monsters!$A$2:$A$1007,MATCH(AI2,Monsters!$B$2:$B$1007,0)), 0)</f>
        <v>0</v>
      </c>
      <c r="AK2" s="170">
        <v>0</v>
      </c>
      <c r="AL2" s="206"/>
      <c r="AM2" s="204">
        <f>_xlfn.IFNA( INDEX(Monsters!$A$2:$A$1007,MATCH(AL2,Monsters!$B$2:$B$1007,0)), 0)</f>
        <v>0</v>
      </c>
      <c r="AN2" s="170">
        <v>0</v>
      </c>
      <c r="AO2" s="206"/>
      <c r="AP2" s="204">
        <f>_xlfn.IFNA( INDEX(Monsters!$A$2:$A$1007,MATCH(AO2,Monsters!$B$2:$B$1007,0)), 0)</f>
        <v>0</v>
      </c>
      <c r="AQ2" s="170">
        <v>0</v>
      </c>
      <c r="AR2" s="206"/>
      <c r="AS2" s="204">
        <f>_xlfn.IFNA( INDEX(Monsters!$A$2:$A$1007,MATCH(AR2,Monsters!$B$2:$B$1007,0)), 0)</f>
        <v>0</v>
      </c>
      <c r="AT2" s="170">
        <v>0</v>
      </c>
    </row>
    <row r="3" spans="1:46">
      <c r="A3" s="170">
        <v>2</v>
      </c>
      <c r="B3" s="170">
        <v>2</v>
      </c>
      <c r="C3" s="169">
        <f>SUM(F3,I3,L3,O3,R3,U3,X3)</f>
        <v>0.18000000000000002</v>
      </c>
      <c r="D3" s="170" t="s">
        <v>268</v>
      </c>
      <c r="E3" s="204">
        <f>_xlfn.IFNA(INDEX(ForestObjects!$A$2:$A$1004,MATCH(D3,ForestObjects!$B$2:$B$1004,0)), 0)</f>
        <v>1</v>
      </c>
      <c r="F3" s="170">
        <v>0.1</v>
      </c>
      <c r="G3" s="170" t="s">
        <v>269</v>
      </c>
      <c r="H3" s="204">
        <f>_xlfn.IFNA(INDEX(ForestObjects!$A$2:$A$1004,MATCH(G3,ForestObjects!$B$2:$B$1004,0)), 0)</f>
        <v>2</v>
      </c>
      <c r="I3" s="170">
        <v>0.05</v>
      </c>
      <c r="J3" s="170" t="s">
        <v>270</v>
      </c>
      <c r="K3" s="204">
        <f>_xlfn.IFNA(INDEX(ForestObjects!$A$2:$A$1004,MATCH(J3,ForestObjects!$B$2:$B$1004,0)), 0)</f>
        <v>3</v>
      </c>
      <c r="L3" s="170">
        <v>0.03</v>
      </c>
      <c r="N3" s="204">
        <f>_xlfn.IFNA(INDEX(ForestObjects!$A$2:$A$1004,MATCH(M3,ForestObjects!$B$2:$B$1004,0)), 0)</f>
        <v>0</v>
      </c>
      <c r="O3" s="170">
        <v>0</v>
      </c>
      <c r="Q3" s="204">
        <f>_xlfn.IFNA(INDEX(ForestObjects!$A$2:$A$1004,MATCH(P3,ForestObjects!$B$2:$B$1004,0)), 0)</f>
        <v>0</v>
      </c>
      <c r="R3" s="170">
        <v>0</v>
      </c>
      <c r="T3" s="204">
        <f>_xlfn.IFNA(INDEX(ForestObjects!$A$2:$A$1004,MATCH(S3,ForestObjects!$B$2:$B$1004,0)), 0)</f>
        <v>0</v>
      </c>
      <c r="U3" s="170">
        <v>0</v>
      </c>
      <c r="W3" s="204">
        <f>_xlfn.IFNA(INDEX(ForestObjects!$A$2:$A$1004,MATCH(V3,ForestObjects!$B$2:$B$1004,0)), 0)</f>
        <v>0</v>
      </c>
      <c r="X3" s="170">
        <v>0</v>
      </c>
      <c r="Y3" s="40">
        <f t="shared" ref="Y3:Y6" si="0">SUM(AB3, AE3,AH3,AK3,AN3,AQ3,AT3)</f>
        <v>0.2</v>
      </c>
      <c r="Z3" s="206" t="s">
        <v>227</v>
      </c>
      <c r="AA3" s="204">
        <f>_xlfn.IFNA( INDEX(Monsters!$A$2:$A$1007,MATCH(Z3,Monsters!$B$2:$B$1007,0)), 0)</f>
        <v>1</v>
      </c>
      <c r="AB3" s="170">
        <v>0.1</v>
      </c>
      <c r="AC3" s="206" t="s">
        <v>274</v>
      </c>
      <c r="AD3" s="204">
        <f>_xlfn.IFNA( INDEX(Monsters!$A$2:$A$1007,MATCH(AC3,Monsters!$B$2:$B$1007,0)), 0)</f>
        <v>5</v>
      </c>
      <c r="AE3" s="170">
        <v>0.1</v>
      </c>
      <c r="AG3" s="204">
        <f>_xlfn.IFNA( INDEX(Monsters!$A$2:$A$1007,MATCH(AF3,Monsters!$B$2:$B$1007,0)), 0)</f>
        <v>0</v>
      </c>
      <c r="AH3" s="170">
        <v>0</v>
      </c>
      <c r="AJ3" s="204">
        <f>_xlfn.IFNA( INDEX(Monsters!$A$2:$A$1007,MATCH(AI3,Monsters!$B$2:$B$1007,0)), 0)</f>
        <v>0</v>
      </c>
      <c r="AK3" s="170">
        <v>0</v>
      </c>
      <c r="AM3" s="204">
        <f>_xlfn.IFNA( INDEX(Monsters!$A$2:$A$1007,MATCH(AL3,Monsters!$B$2:$B$1007,0)), 0)</f>
        <v>0</v>
      </c>
      <c r="AN3" s="170">
        <v>0</v>
      </c>
      <c r="AP3" s="204">
        <f>_xlfn.IFNA( INDEX(Monsters!$A$2:$A$1007,MATCH(AO3,Monsters!$B$2:$B$1007,0)), 0)</f>
        <v>0</v>
      </c>
      <c r="AQ3" s="170">
        <v>0</v>
      </c>
      <c r="AS3" s="204">
        <f>_xlfn.IFNA( INDEX(Monsters!$A$2:$A$1007,MATCH(AR3,Monsters!$B$2:$B$1007,0)), 0)</f>
        <v>0</v>
      </c>
      <c r="AT3" s="170">
        <v>0</v>
      </c>
    </row>
    <row r="4" spans="1:46">
      <c r="A4" s="170">
        <v>3</v>
      </c>
      <c r="B4" s="170">
        <v>3</v>
      </c>
      <c r="C4" s="169">
        <f t="shared" ref="C4:C6" si="1">SUM(F4,I4,L4,O4,R4,U4,X4)</f>
        <v>0.18000000000000002</v>
      </c>
      <c r="D4" s="170" t="s">
        <v>268</v>
      </c>
      <c r="E4" s="204">
        <f>_xlfn.IFNA(INDEX(ForestObjects!$A$2:$A$1004,MATCH(D4,ForestObjects!$B$2:$B$1004,0)), 0)</f>
        <v>1</v>
      </c>
      <c r="F4" s="170">
        <v>0.1</v>
      </c>
      <c r="G4" s="170" t="s">
        <v>269</v>
      </c>
      <c r="H4" s="204">
        <f>_xlfn.IFNA(INDEX(ForestObjects!$A$2:$A$1004,MATCH(G4,ForestObjects!$B$2:$B$1004,0)), 0)</f>
        <v>2</v>
      </c>
      <c r="I4" s="170">
        <v>0.05</v>
      </c>
      <c r="J4" s="170" t="s">
        <v>270</v>
      </c>
      <c r="K4" s="204">
        <f>_xlfn.IFNA(INDEX(ForestObjects!$A$2:$A$1004,MATCH(J4,ForestObjects!$B$2:$B$1004,0)), 0)</f>
        <v>3</v>
      </c>
      <c r="L4" s="170">
        <v>0.03</v>
      </c>
      <c r="N4" s="204">
        <f>_xlfn.IFNA(INDEX(ForestObjects!$A$2:$A$1004,MATCH(M4,ForestObjects!$B$2:$B$1004,0)), 0)</f>
        <v>0</v>
      </c>
      <c r="O4" s="170">
        <v>0</v>
      </c>
      <c r="Q4" s="204">
        <f>_xlfn.IFNA(INDEX(ForestObjects!$A$2:$A$1004,MATCH(P4,ForestObjects!$B$2:$B$1004,0)), 0)</f>
        <v>0</v>
      </c>
      <c r="R4" s="170">
        <v>0</v>
      </c>
      <c r="T4" s="204">
        <f>_xlfn.IFNA(INDEX(ForestObjects!$A$2:$A$1004,MATCH(S4,ForestObjects!$B$2:$B$1004,0)), 0)</f>
        <v>0</v>
      </c>
      <c r="U4" s="170">
        <v>0</v>
      </c>
      <c r="W4" s="204">
        <f>_xlfn.IFNA(INDEX(ForestObjects!$A$2:$A$1004,MATCH(V4,ForestObjects!$B$2:$B$1004,0)), 0)</f>
        <v>0</v>
      </c>
      <c r="X4" s="170">
        <v>0</v>
      </c>
      <c r="Y4" s="40">
        <f t="shared" si="0"/>
        <v>0.2</v>
      </c>
      <c r="Z4" s="206" t="s">
        <v>227</v>
      </c>
      <c r="AA4" s="204">
        <f>_xlfn.IFNA( INDEX(Monsters!$A$2:$A$1007,MATCH(Z4,Monsters!$B$2:$B$1007,0)), 0)</f>
        <v>1</v>
      </c>
      <c r="AB4" s="170">
        <v>0.1</v>
      </c>
      <c r="AC4" s="206" t="s">
        <v>274</v>
      </c>
      <c r="AD4" s="204">
        <f>_xlfn.IFNA( INDEX(Monsters!$A$2:$A$1007,MATCH(AC4,Monsters!$B$2:$B$1007,0)), 0)</f>
        <v>5</v>
      </c>
      <c r="AE4" s="170">
        <v>0.1</v>
      </c>
      <c r="AG4" s="204">
        <f>_xlfn.IFNA( INDEX(Monsters!$A$2:$A$1007,MATCH(AF4,Monsters!$B$2:$B$1007,0)), 0)</f>
        <v>0</v>
      </c>
      <c r="AH4" s="170">
        <v>0</v>
      </c>
      <c r="AJ4" s="204">
        <f>_xlfn.IFNA( INDEX(Monsters!$A$2:$A$1007,MATCH(AI4,Monsters!$B$2:$B$1007,0)), 0)</f>
        <v>0</v>
      </c>
      <c r="AK4" s="170">
        <v>0</v>
      </c>
      <c r="AM4" s="204">
        <f>_xlfn.IFNA( INDEX(Monsters!$A$2:$A$1007,MATCH(AL4,Monsters!$B$2:$B$1007,0)), 0)</f>
        <v>0</v>
      </c>
      <c r="AN4" s="170">
        <v>0</v>
      </c>
      <c r="AP4" s="204">
        <f>_xlfn.IFNA( INDEX(Monsters!$A$2:$A$1007,MATCH(AO4,Monsters!$B$2:$B$1007,0)), 0)</f>
        <v>0</v>
      </c>
      <c r="AQ4" s="170">
        <v>0</v>
      </c>
      <c r="AS4" s="204">
        <f>_xlfn.IFNA( INDEX(Monsters!$A$2:$A$1007,MATCH(AR4,Monsters!$B$2:$B$1007,0)), 0)</f>
        <v>0</v>
      </c>
      <c r="AT4" s="170">
        <v>0</v>
      </c>
    </row>
    <row r="5" spans="1:46">
      <c r="A5" s="170">
        <v>4</v>
      </c>
      <c r="B5" s="170">
        <v>4</v>
      </c>
      <c r="C5" s="169">
        <f t="shared" si="1"/>
        <v>0.18000000000000002</v>
      </c>
      <c r="D5" s="170" t="s">
        <v>268</v>
      </c>
      <c r="E5" s="204">
        <f>_xlfn.IFNA(INDEX(ForestObjects!$A$2:$A$1004,MATCH(D5,ForestObjects!$B$2:$B$1004,0)), 0)</f>
        <v>1</v>
      </c>
      <c r="F5" s="170">
        <v>0.1</v>
      </c>
      <c r="G5" s="170" t="s">
        <v>269</v>
      </c>
      <c r="H5" s="204">
        <f>_xlfn.IFNA(INDEX(ForestObjects!$A$2:$A$1004,MATCH(G5,ForestObjects!$B$2:$B$1004,0)), 0)</f>
        <v>2</v>
      </c>
      <c r="I5" s="170">
        <v>0.05</v>
      </c>
      <c r="J5" s="170" t="s">
        <v>270</v>
      </c>
      <c r="K5" s="204">
        <f>_xlfn.IFNA(INDEX(ForestObjects!$A$2:$A$1004,MATCH(J5,ForestObjects!$B$2:$B$1004,0)), 0)</f>
        <v>3</v>
      </c>
      <c r="L5" s="170">
        <v>0.03</v>
      </c>
      <c r="N5" s="204">
        <f>_xlfn.IFNA(INDEX(ForestObjects!$A$2:$A$1004,MATCH(M5,ForestObjects!$B$2:$B$1004,0)), 0)</f>
        <v>0</v>
      </c>
      <c r="O5" s="170">
        <v>0</v>
      </c>
      <c r="Q5" s="204">
        <f>_xlfn.IFNA(INDEX(ForestObjects!$A$2:$A$1004,MATCH(P5,ForestObjects!$B$2:$B$1004,0)), 0)</f>
        <v>0</v>
      </c>
      <c r="R5" s="170">
        <v>0</v>
      </c>
      <c r="T5" s="204">
        <f>_xlfn.IFNA(INDEX(ForestObjects!$A$2:$A$1004,MATCH(S5,ForestObjects!$B$2:$B$1004,0)), 0)</f>
        <v>0</v>
      </c>
      <c r="U5" s="170">
        <v>0</v>
      </c>
      <c r="W5" s="204">
        <f>_xlfn.IFNA(INDEX(ForestObjects!$A$2:$A$1004,MATCH(V5,ForestObjects!$B$2:$B$1004,0)), 0)</f>
        <v>0</v>
      </c>
      <c r="X5" s="170">
        <v>0</v>
      </c>
      <c r="Y5" s="40">
        <f t="shared" si="0"/>
        <v>0.2</v>
      </c>
      <c r="Z5" s="206" t="s">
        <v>227</v>
      </c>
      <c r="AA5" s="204">
        <f>_xlfn.IFNA( INDEX(Monsters!$A$2:$A$1007,MATCH(Z5,Monsters!$B$2:$B$1007,0)), 0)</f>
        <v>1</v>
      </c>
      <c r="AB5" s="170">
        <v>0.1</v>
      </c>
      <c r="AC5" s="206" t="s">
        <v>274</v>
      </c>
      <c r="AD5" s="204">
        <f>_xlfn.IFNA( INDEX(Monsters!$A$2:$A$1007,MATCH(AC5,Monsters!$B$2:$B$1007,0)), 0)</f>
        <v>5</v>
      </c>
      <c r="AE5" s="170">
        <v>0.1</v>
      </c>
      <c r="AG5" s="204">
        <f>_xlfn.IFNA( INDEX(Monsters!$A$2:$A$1007,MATCH(AF5,Monsters!$B$2:$B$1007,0)), 0)</f>
        <v>0</v>
      </c>
      <c r="AH5" s="170">
        <v>0</v>
      </c>
      <c r="AJ5" s="204">
        <f>_xlfn.IFNA( INDEX(Monsters!$A$2:$A$1007,MATCH(AI5,Monsters!$B$2:$B$1007,0)), 0)</f>
        <v>0</v>
      </c>
      <c r="AK5" s="170">
        <v>0</v>
      </c>
      <c r="AM5" s="204">
        <f>_xlfn.IFNA( INDEX(Monsters!$A$2:$A$1007,MATCH(AL5,Monsters!$B$2:$B$1007,0)), 0)</f>
        <v>0</v>
      </c>
      <c r="AN5" s="170">
        <v>0</v>
      </c>
      <c r="AP5" s="204">
        <f>_xlfn.IFNA( INDEX(Monsters!$A$2:$A$1007,MATCH(AO5,Monsters!$B$2:$B$1007,0)), 0)</f>
        <v>0</v>
      </c>
      <c r="AQ5" s="170">
        <v>0</v>
      </c>
      <c r="AS5" s="204">
        <f>_xlfn.IFNA( INDEX(Monsters!$A$2:$A$1007,MATCH(AR5,Monsters!$B$2:$B$1007,0)), 0)</f>
        <v>0</v>
      </c>
      <c r="AT5" s="170">
        <v>0</v>
      </c>
    </row>
    <row r="6" spans="1:46">
      <c r="A6" s="170">
        <v>5</v>
      </c>
      <c r="B6" s="170">
        <v>4</v>
      </c>
      <c r="C6" s="169">
        <f t="shared" si="1"/>
        <v>0.18000000000000002</v>
      </c>
      <c r="D6" s="170" t="s">
        <v>268</v>
      </c>
      <c r="E6" s="204">
        <f>_xlfn.IFNA(INDEX(ForestObjects!$A$2:$A$1004,MATCH(D6,ForestObjects!$B$2:$B$1004,0)), 0)</f>
        <v>1</v>
      </c>
      <c r="F6" s="170">
        <v>0.1</v>
      </c>
      <c r="G6" s="170" t="s">
        <v>269</v>
      </c>
      <c r="H6" s="204">
        <f>_xlfn.IFNA(INDEX(ForestObjects!$A$2:$A$1004,MATCH(G6,ForestObjects!$B$2:$B$1004,0)), 0)</f>
        <v>2</v>
      </c>
      <c r="I6" s="170">
        <v>0.05</v>
      </c>
      <c r="J6" s="170" t="s">
        <v>270</v>
      </c>
      <c r="K6" s="204">
        <f>_xlfn.IFNA(INDEX(ForestObjects!$A$2:$A$1004,MATCH(J6,ForestObjects!$B$2:$B$1004,0)), 0)</f>
        <v>3</v>
      </c>
      <c r="L6" s="170">
        <v>0.03</v>
      </c>
      <c r="N6" s="204">
        <f>_xlfn.IFNA(INDEX(ForestObjects!$A$2:$A$1004,MATCH(M6,ForestObjects!$B$2:$B$1004,0)), 0)</f>
        <v>0</v>
      </c>
      <c r="O6" s="170">
        <v>0</v>
      </c>
      <c r="Q6" s="204">
        <f>_xlfn.IFNA(INDEX(ForestObjects!$A$2:$A$1004,MATCH(P6,ForestObjects!$B$2:$B$1004,0)), 0)</f>
        <v>0</v>
      </c>
      <c r="R6" s="170">
        <v>0</v>
      </c>
      <c r="T6" s="204">
        <f>_xlfn.IFNA(INDEX(ForestObjects!$A$2:$A$1004,MATCH(S6,ForestObjects!$B$2:$B$1004,0)), 0)</f>
        <v>0</v>
      </c>
      <c r="U6" s="170">
        <v>0</v>
      </c>
      <c r="W6" s="204">
        <f>_xlfn.IFNA(INDEX(ForestObjects!$A$2:$A$1004,MATCH(V6,ForestObjects!$B$2:$B$1004,0)), 0)</f>
        <v>0</v>
      </c>
      <c r="X6" s="170">
        <v>0</v>
      </c>
      <c r="Y6" s="40">
        <f t="shared" si="0"/>
        <v>0.2</v>
      </c>
      <c r="Z6" s="206" t="s">
        <v>227</v>
      </c>
      <c r="AA6" s="204">
        <f>_xlfn.IFNA( INDEX(Monsters!$A$2:$A$1007,MATCH(Z6,Monsters!$B$2:$B$1007,0)), 0)</f>
        <v>1</v>
      </c>
      <c r="AB6" s="170">
        <v>0.1</v>
      </c>
      <c r="AC6" s="206" t="s">
        <v>274</v>
      </c>
      <c r="AD6" s="204">
        <f>_xlfn.IFNA( INDEX(Monsters!$A$2:$A$1007,MATCH(AC6,Monsters!$B$2:$B$1007,0)), 0)</f>
        <v>5</v>
      </c>
      <c r="AE6" s="170">
        <v>0.1</v>
      </c>
      <c r="AG6" s="204">
        <f>_xlfn.IFNA( INDEX(Monsters!$A$2:$A$1007,MATCH(AF6,Monsters!$B$2:$B$1007,0)), 0)</f>
        <v>0</v>
      </c>
      <c r="AH6" s="170">
        <v>0</v>
      </c>
      <c r="AJ6" s="204">
        <f>_xlfn.IFNA( INDEX(Monsters!$A$2:$A$1007,MATCH(AI6,Monsters!$B$2:$B$1007,0)), 0)</f>
        <v>0</v>
      </c>
      <c r="AK6" s="170">
        <v>0</v>
      </c>
      <c r="AM6" s="204">
        <f>_xlfn.IFNA( INDEX(Monsters!$A$2:$A$1007,MATCH(AL6,Monsters!$B$2:$B$1007,0)), 0)</f>
        <v>0</v>
      </c>
      <c r="AN6" s="170">
        <v>0</v>
      </c>
      <c r="AP6" s="204">
        <f>_xlfn.IFNA( INDEX(Monsters!$A$2:$A$1007,MATCH(AO6,Monsters!$B$2:$B$1007,0)), 0)</f>
        <v>0</v>
      </c>
      <c r="AQ6" s="170">
        <v>0</v>
      </c>
      <c r="AS6" s="204">
        <f>_xlfn.IFNA( INDEX(Monsters!$A$2:$A$1007,MATCH(AR6,Monsters!$B$2:$B$1007,0)), 0)</f>
        <v>0</v>
      </c>
      <c r="AT6" s="170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0E2886-2DD0-4677-9821-E09A274B6BB4}">
          <x14:formula1>
            <xm:f>Monsters!$B$2:$B$1001</xm:f>
          </x14:formula1>
          <xm:sqref>AF2:AF6 Z2:Z6 AR2:AR6 AO2:AO6 AL2:AL6 AI2:AI6 AC2:AC6</xm:sqref>
        </x14:dataValidation>
        <x14:dataValidation type="list" allowBlank="1" showInputMessage="1" showErrorMessage="1" xr:uid="{AC1862BE-BF85-4493-BCC7-939199755218}">
          <x14:formula1>
            <xm:f>ForestObjects!$B$2:$B$250</xm:f>
          </x14:formula1>
          <xm:sqref>V2:V6 G2:G6 S2:S6 P2:P6 M2:M6 D2:D6 J2:J6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B281-782F-4D78-9A0F-47681191C2B5}">
  <sheetPr codeName="Sheet11"/>
  <dimension ref="A1:AV12"/>
  <sheetViews>
    <sheetView topLeftCell="C1" zoomScale="145" zoomScaleNormal="145" workbookViewId="0">
      <selection activeCell="F1" sqref="F1:X1"/>
    </sheetView>
  </sheetViews>
  <sheetFormatPr defaultRowHeight="15" outlineLevelCol="1"/>
  <cols>
    <col min="1" max="1" width="7.140625" style="170" bestFit="1" customWidth="1"/>
    <col min="2" max="2" width="11" style="170" bestFit="1" customWidth="1"/>
    <col min="3" max="3" width="9" style="170" bestFit="1" customWidth="1"/>
    <col min="4" max="4" width="9.28515625" style="170" bestFit="1" customWidth="1"/>
    <col min="5" max="5" width="9.28515625" style="169" bestFit="1" customWidth="1"/>
    <col min="6" max="6" width="9.140625" style="170" customWidth="1" outlineLevel="1"/>
    <col min="7" max="7" width="3.85546875" style="204" customWidth="1" outlineLevel="1"/>
    <col min="8" max="8" width="7.85546875" style="170" customWidth="1" outlineLevel="1"/>
    <col min="9" max="9" width="9" style="170" customWidth="1" outlineLevel="1"/>
    <col min="10" max="10" width="3.85546875" style="204" customWidth="1" outlineLevel="1"/>
    <col min="11" max="11" width="7.85546875" style="170" customWidth="1" outlineLevel="1"/>
    <col min="12" max="12" width="9.7109375" style="170" customWidth="1" outlineLevel="1"/>
    <col min="13" max="13" width="3.85546875" style="204" customWidth="1" outlineLevel="1"/>
    <col min="14" max="14" width="7.85546875" style="170" customWidth="1" outlineLevel="1"/>
    <col min="15" max="15" width="9" style="170" customWidth="1" outlineLevel="1"/>
    <col min="16" max="16" width="3.85546875" style="204" customWidth="1" outlineLevel="1"/>
    <col min="17" max="17" width="7.85546875" style="170" customWidth="1" outlineLevel="1"/>
    <col min="18" max="18" width="9" style="170" customWidth="1" outlineLevel="1"/>
    <col min="19" max="19" width="3.85546875" style="204" customWidth="1" outlineLevel="1"/>
    <col min="20" max="20" width="7.85546875" style="170" customWidth="1" outlineLevel="1"/>
    <col min="21" max="21" width="9" style="170" customWidth="1" outlineLevel="1"/>
    <col min="22" max="22" width="3.85546875" style="204" customWidth="1" outlineLevel="1"/>
    <col min="23" max="23" width="7.85546875" style="170" customWidth="1" outlineLevel="1"/>
    <col min="24" max="24" width="9" style="170" customWidth="1" outlineLevel="1"/>
    <col min="25" max="25" width="3.85546875" style="204" customWidth="1" outlineLevel="1"/>
    <col min="26" max="26" width="7.85546875" style="170" customWidth="1" outlineLevel="1"/>
    <col min="27" max="27" width="9.140625" style="40"/>
    <col min="28" max="28" width="11.85546875" bestFit="1" customWidth="1" outlineLevel="1"/>
    <col min="29" max="29" width="3.7109375" bestFit="1" customWidth="1" outlineLevel="1"/>
    <col min="30" max="30" width="6.140625" bestFit="1" customWidth="1" outlineLevel="1"/>
    <col min="31" max="31" width="7" bestFit="1" customWidth="1" outlineLevel="1"/>
    <col min="32" max="32" width="3.7109375" bestFit="1" customWidth="1" outlineLevel="1"/>
    <col min="33" max="33" width="6.140625" bestFit="1" customWidth="1" outlineLevel="1"/>
    <col min="34" max="34" width="7" bestFit="1" customWidth="1" outlineLevel="1"/>
    <col min="35" max="35" width="3.7109375" bestFit="1" customWidth="1" outlineLevel="1"/>
    <col min="36" max="36" width="6.140625" bestFit="1" customWidth="1" outlineLevel="1"/>
    <col min="37" max="37" width="7" bestFit="1" customWidth="1" outlineLevel="1"/>
    <col min="38" max="38" width="3.7109375" bestFit="1" customWidth="1" outlineLevel="1"/>
    <col min="39" max="39" width="6.140625" bestFit="1" customWidth="1" outlineLevel="1"/>
    <col min="40" max="40" width="7" bestFit="1" customWidth="1" outlineLevel="1"/>
    <col min="41" max="41" width="3.7109375" bestFit="1" customWidth="1" outlineLevel="1"/>
    <col min="42" max="42" width="6.140625" bestFit="1" customWidth="1" outlineLevel="1"/>
    <col min="43" max="43" width="7" bestFit="1" customWidth="1" outlineLevel="1"/>
    <col min="44" max="44" width="3.7109375" bestFit="1" customWidth="1" outlineLevel="1"/>
    <col min="45" max="45" width="6.140625" bestFit="1" customWidth="1" outlineLevel="1"/>
    <col min="46" max="46" width="7" bestFit="1" customWidth="1" outlineLevel="1"/>
    <col min="47" max="47" width="3.7109375" bestFit="1" customWidth="1" outlineLevel="1"/>
    <col min="48" max="48" width="6.140625" bestFit="1" customWidth="1" outlineLevel="1"/>
  </cols>
  <sheetData>
    <row r="1" spans="1:48">
      <c r="A1" s="203" t="s">
        <v>205</v>
      </c>
      <c r="B1" s="203" t="s">
        <v>221</v>
      </c>
      <c r="C1" s="203" t="s">
        <v>207</v>
      </c>
      <c r="D1" s="203" t="s">
        <v>208</v>
      </c>
      <c r="E1" s="169" t="s">
        <v>206</v>
      </c>
      <c r="F1" s="207" t="s">
        <v>230</v>
      </c>
      <c r="G1" s="204" t="s">
        <v>231</v>
      </c>
      <c r="H1" s="207" t="s">
        <v>232</v>
      </c>
      <c r="I1" s="207" t="s">
        <v>233</v>
      </c>
      <c r="J1" s="204" t="s">
        <v>234</v>
      </c>
      <c r="K1" s="207" t="s">
        <v>235</v>
      </c>
      <c r="L1" s="207" t="s">
        <v>236</v>
      </c>
      <c r="M1" s="204" t="s">
        <v>237</v>
      </c>
      <c r="N1" s="207" t="s">
        <v>238</v>
      </c>
      <c r="O1" s="207" t="s">
        <v>239</v>
      </c>
      <c r="P1" s="204" t="s">
        <v>240</v>
      </c>
      <c r="Q1" s="207" t="s">
        <v>241</v>
      </c>
      <c r="R1" s="207" t="s">
        <v>242</v>
      </c>
      <c r="S1" s="204" t="s">
        <v>243</v>
      </c>
      <c r="T1" s="207" t="s">
        <v>244</v>
      </c>
      <c r="U1" s="207" t="s">
        <v>245</v>
      </c>
      <c r="V1" s="204" t="s">
        <v>246</v>
      </c>
      <c r="W1" s="207" t="s">
        <v>247</v>
      </c>
      <c r="X1" s="207" t="s">
        <v>248</v>
      </c>
      <c r="Y1" s="204" t="s">
        <v>249</v>
      </c>
      <c r="Z1" s="207" t="s">
        <v>250</v>
      </c>
      <c r="AA1" s="44" t="s">
        <v>223</v>
      </c>
      <c r="AB1" s="207" t="s">
        <v>230</v>
      </c>
      <c r="AC1" s="204" t="s">
        <v>231</v>
      </c>
      <c r="AD1" s="207" t="s">
        <v>232</v>
      </c>
      <c r="AE1" s="207" t="s">
        <v>233</v>
      </c>
      <c r="AF1" s="204" t="s">
        <v>234</v>
      </c>
      <c r="AG1" s="207" t="s">
        <v>235</v>
      </c>
      <c r="AH1" s="207" t="s">
        <v>236</v>
      </c>
      <c r="AI1" s="204" t="s">
        <v>237</v>
      </c>
      <c r="AJ1" s="207" t="s">
        <v>238</v>
      </c>
      <c r="AK1" s="207" t="s">
        <v>239</v>
      </c>
      <c r="AL1" s="204" t="s">
        <v>240</v>
      </c>
      <c r="AM1" s="207" t="s">
        <v>241</v>
      </c>
      <c r="AN1" s="207" t="s">
        <v>242</v>
      </c>
      <c r="AO1" s="204" t="s">
        <v>243</v>
      </c>
      <c r="AP1" s="207" t="s">
        <v>244</v>
      </c>
      <c r="AQ1" s="207" t="s">
        <v>245</v>
      </c>
      <c r="AR1" s="204" t="s">
        <v>246</v>
      </c>
      <c r="AS1" s="207" t="s">
        <v>247</v>
      </c>
      <c r="AT1" s="207" t="s">
        <v>248</v>
      </c>
      <c r="AU1" s="204" t="s">
        <v>249</v>
      </c>
      <c r="AV1" s="207" t="s">
        <v>250</v>
      </c>
    </row>
    <row r="2" spans="1:48">
      <c r="A2" s="170">
        <v>1</v>
      </c>
      <c r="B2" s="170">
        <v>1</v>
      </c>
      <c r="C2" s="170">
        <v>0</v>
      </c>
      <c r="D2" s="170">
        <v>0.35</v>
      </c>
      <c r="E2" s="169">
        <f>SUM(H2,K2,N2,Q2,T2,W2,Z2)</f>
        <v>8.5000000000000006E-2</v>
      </c>
      <c r="F2" s="170" t="s">
        <v>174</v>
      </c>
      <c r="G2" s="204">
        <f>_xlfn.IFNA( INDEX(Minerals!$A$2:$A$1005,MATCH(F2,Minerals!$B$2:$B$1005,0)), 0)</f>
        <v>1</v>
      </c>
      <c r="H2" s="170">
        <v>0.04</v>
      </c>
      <c r="I2" s="170" t="s">
        <v>78</v>
      </c>
      <c r="J2" s="204">
        <f>_xlfn.IFNA( INDEX(Minerals!$A$2:$A$1005,MATCH(I2,Minerals!$B$2:$B$1005,0)), 0)</f>
        <v>2</v>
      </c>
      <c r="K2" s="170">
        <v>3.5000000000000003E-2</v>
      </c>
      <c r="L2" s="170" t="s">
        <v>175</v>
      </c>
      <c r="M2" s="204">
        <f>_xlfn.IFNA( INDEX(Minerals!$A$2:$A$1005,MATCH(L2,Minerals!$B$2:$B$1005,0)), 0)</f>
        <v>3</v>
      </c>
      <c r="N2" s="170">
        <v>0.01</v>
      </c>
      <c r="P2" s="204">
        <f>_xlfn.IFNA( INDEX(Minerals!$A$2:$A$1005,MATCH(O2,Minerals!$B$2:$B$1005,0)), 0)</f>
        <v>0</v>
      </c>
      <c r="Q2" s="170">
        <v>0</v>
      </c>
      <c r="S2" s="204">
        <f>_xlfn.IFNA( INDEX(Minerals!$A$2:$A$1005,MATCH(R2,Minerals!$B$2:$B$1005,0)), 0)</f>
        <v>0</v>
      </c>
      <c r="T2" s="170">
        <v>0</v>
      </c>
      <c r="V2" s="204">
        <f>_xlfn.IFNA( INDEX(Minerals!$A$2:$A$1005,MATCH(U2,Minerals!$B$2:$B$1005,0)), 0)</f>
        <v>0</v>
      </c>
      <c r="W2" s="170">
        <v>0</v>
      </c>
      <c r="Y2" s="204">
        <f>_xlfn.IFNA( INDEX(Minerals!$A$2:$A$1005,MATCH(X2,Minerals!$B$2:$B$1005,0)), 0)</f>
        <v>0</v>
      </c>
      <c r="Z2" s="170">
        <v>0</v>
      </c>
      <c r="AA2" s="40">
        <f>SUM(AD2, AG2,AJ2,AM2,AP2,AS2,AV2)</f>
        <v>0.01</v>
      </c>
      <c r="AB2" s="206" t="s">
        <v>227</v>
      </c>
      <c r="AC2" s="204">
        <f>_xlfn.IFNA( INDEX(Monsters!$A$2:$A$1007,MATCH(AB2,Monsters!$B$2:$B$1007,0)), 0)</f>
        <v>1</v>
      </c>
      <c r="AD2" s="170">
        <v>0.01</v>
      </c>
      <c r="AE2" s="206"/>
      <c r="AF2" s="204">
        <f>_xlfn.IFNA( INDEX(Monsters!$A$2:$A$1007,MATCH(AE2,Monsters!$B$2:$B$1007,0)), 0)</f>
        <v>0</v>
      </c>
      <c r="AG2" s="170">
        <v>0</v>
      </c>
      <c r="AH2" s="206"/>
      <c r="AI2" s="204">
        <f>_xlfn.IFNA( INDEX(Monsters!$A$2:$A$1007,MATCH(AH2,Monsters!$B$2:$B$1007,0)), 0)</f>
        <v>0</v>
      </c>
      <c r="AJ2" s="170">
        <v>0</v>
      </c>
      <c r="AK2" s="206"/>
      <c r="AL2" s="204">
        <f>_xlfn.IFNA( INDEX(Monsters!$A$2:$A$1007,MATCH(AK2,Monsters!$B$2:$B$1007,0)), 0)</f>
        <v>0</v>
      </c>
      <c r="AM2" s="170">
        <v>0</v>
      </c>
      <c r="AN2" s="206"/>
      <c r="AO2" s="204">
        <f>_xlfn.IFNA( INDEX(Monsters!$A$2:$A$1007,MATCH(AN2,Monsters!$B$2:$B$1007,0)), 0)</f>
        <v>0</v>
      </c>
      <c r="AP2" s="170">
        <v>0</v>
      </c>
      <c r="AQ2" s="206"/>
      <c r="AR2" s="204">
        <f>_xlfn.IFNA( INDEX(Monsters!$A$2:$A$1007,MATCH(AQ2,Monsters!$B$2:$B$1007,0)), 0)</f>
        <v>0</v>
      </c>
      <c r="AS2" s="170">
        <v>0</v>
      </c>
      <c r="AT2" s="206"/>
      <c r="AU2" s="204">
        <f>_xlfn.IFNA( INDEX(Monsters!$A$2:$A$1007,MATCH(AT2,Monsters!$B$2:$B$1007,0)), 0)</f>
        <v>0</v>
      </c>
      <c r="AV2" s="170">
        <v>0</v>
      </c>
    </row>
    <row r="3" spans="1:48">
      <c r="A3" s="170">
        <v>2</v>
      </c>
      <c r="B3" s="170">
        <v>2</v>
      </c>
      <c r="C3" s="170">
        <v>0</v>
      </c>
      <c r="D3" s="170">
        <v>0.35</v>
      </c>
      <c r="E3" s="169">
        <f>SUM(H3,K3,N3,Q3,T3,W3,Z3)</f>
        <v>8.5000000000000006E-2</v>
      </c>
      <c r="F3" s="170" t="s">
        <v>174</v>
      </c>
      <c r="G3" s="204">
        <f>_xlfn.IFNA( INDEX(Minerals!$A$2:$A$1005,MATCH(F3,Minerals!$B$2:$B$1005,0)), 0)</f>
        <v>1</v>
      </c>
      <c r="H3" s="170">
        <v>0.04</v>
      </c>
      <c r="I3" s="170" t="s">
        <v>78</v>
      </c>
      <c r="J3" s="204">
        <f>_xlfn.IFNA( INDEX(Minerals!$A$2:$A$1005,MATCH(I3,Minerals!$B$2:$B$1005,0)), 0)</f>
        <v>2</v>
      </c>
      <c r="K3" s="170">
        <v>3.5000000000000003E-2</v>
      </c>
      <c r="L3" s="170" t="s">
        <v>175</v>
      </c>
      <c r="M3" s="204">
        <f>_xlfn.IFNA( INDEX(Minerals!$A$2:$A$1005,MATCH(L3,Minerals!$B$2:$B$1005,0)), 0)</f>
        <v>3</v>
      </c>
      <c r="N3" s="170">
        <v>0.01</v>
      </c>
      <c r="P3" s="204">
        <f>_xlfn.IFNA( INDEX(Minerals!$A$2:$A$1005,MATCH(O3,Minerals!$B$2:$B$1005,0)), 0)</f>
        <v>0</v>
      </c>
      <c r="Q3" s="170">
        <v>0</v>
      </c>
      <c r="S3" s="204">
        <f>_xlfn.IFNA( INDEX(Minerals!$A$2:$A$1005,MATCH(R3,Minerals!$B$2:$B$1005,0)), 0)</f>
        <v>0</v>
      </c>
      <c r="T3" s="170">
        <v>0</v>
      </c>
      <c r="V3" s="204">
        <f>_xlfn.IFNA( INDEX(Minerals!$A$2:$A$1005,MATCH(U3,Minerals!$B$2:$B$1005,0)), 0)</f>
        <v>0</v>
      </c>
      <c r="W3" s="170">
        <v>0</v>
      </c>
      <c r="Y3" s="204">
        <f>_xlfn.IFNA( INDEX(Minerals!$A$2:$A$1005,MATCH(X3,Minerals!$B$2:$B$1005,0)), 0)</f>
        <v>0</v>
      </c>
      <c r="Z3" s="170">
        <v>0</v>
      </c>
      <c r="AA3" s="40">
        <f t="shared" ref="AA3:AA12" si="0">SUM(AD3, AG3,AJ3,AM3,AP3,AS3,AV3)</f>
        <v>0.01</v>
      </c>
      <c r="AB3" s="206" t="s">
        <v>227</v>
      </c>
      <c r="AC3" s="204">
        <f>_xlfn.IFNA( INDEX(Monsters!$A$2:$A$1007,MATCH(AB3,Monsters!$B$2:$B$1007,0)), 0)</f>
        <v>1</v>
      </c>
      <c r="AD3" s="170">
        <v>0.01</v>
      </c>
      <c r="AE3" s="206"/>
      <c r="AF3" s="204">
        <f>_xlfn.IFNA( INDEX(Monsters!$A$2:$A$1007,MATCH(AE3,Monsters!$B$2:$B$1007,0)), 0)</f>
        <v>0</v>
      </c>
      <c r="AG3" s="170">
        <v>0</v>
      </c>
      <c r="AI3" s="204">
        <f>_xlfn.IFNA( INDEX(Monsters!$A$2:$A$1007,MATCH(AH3,Monsters!$B$2:$B$1007,0)), 0)</f>
        <v>0</v>
      </c>
      <c r="AJ3" s="170">
        <v>0</v>
      </c>
      <c r="AL3" s="204">
        <f>_xlfn.IFNA( INDEX(Monsters!$A$2:$A$1007,MATCH(AK3,Monsters!$B$2:$B$1007,0)), 0)</f>
        <v>0</v>
      </c>
      <c r="AM3" s="170">
        <v>0</v>
      </c>
      <c r="AO3" s="204">
        <f>_xlfn.IFNA( INDEX(Monsters!$A$2:$A$1007,MATCH(AN3,Monsters!$B$2:$B$1007,0)), 0)</f>
        <v>0</v>
      </c>
      <c r="AP3" s="170">
        <v>0</v>
      </c>
      <c r="AR3" s="204">
        <f>_xlfn.IFNA( INDEX(Monsters!$A$2:$A$1007,MATCH(AQ3,Monsters!$B$2:$B$1007,0)), 0)</f>
        <v>0</v>
      </c>
      <c r="AS3" s="170">
        <v>0</v>
      </c>
      <c r="AU3" s="204">
        <f>_xlfn.IFNA( INDEX(Monsters!$A$2:$A$1007,MATCH(AT3,Monsters!$B$2:$B$1007,0)), 0)</f>
        <v>0</v>
      </c>
      <c r="AV3" s="170">
        <v>0</v>
      </c>
    </row>
    <row r="4" spans="1:48">
      <c r="A4" s="170">
        <v>3</v>
      </c>
      <c r="B4" s="170">
        <v>3</v>
      </c>
      <c r="C4" s="170">
        <v>0</v>
      </c>
      <c r="D4" s="170">
        <v>0.35</v>
      </c>
      <c r="E4" s="169">
        <f t="shared" ref="E4:E12" si="1">SUM(H4,K4,N4,Q4,T4,W4,Z4)</f>
        <v>8.9999999999999983E-2</v>
      </c>
      <c r="F4" s="170" t="s">
        <v>174</v>
      </c>
      <c r="G4" s="204">
        <f>_xlfn.IFNA( INDEX(Minerals!$A$2:$A$1005,MATCH(F4,Minerals!$B$2:$B$1005,0)), 0)</f>
        <v>1</v>
      </c>
      <c r="H4" s="170">
        <v>0.04</v>
      </c>
      <c r="I4" s="170" t="s">
        <v>78</v>
      </c>
      <c r="J4" s="204">
        <f>_xlfn.IFNA( INDEX(Minerals!$A$2:$A$1005,MATCH(I4,Minerals!$B$2:$B$1005,0)), 0)</f>
        <v>2</v>
      </c>
      <c r="K4" s="170">
        <v>0.02</v>
      </c>
      <c r="L4" s="170" t="s">
        <v>175</v>
      </c>
      <c r="M4" s="204">
        <f>_xlfn.IFNA( INDEX(Minerals!$A$2:$A$1005,MATCH(L4,Minerals!$B$2:$B$1005,0)), 0)</f>
        <v>3</v>
      </c>
      <c r="N4" s="170">
        <v>0.01</v>
      </c>
      <c r="O4" s="170" t="s">
        <v>222</v>
      </c>
      <c r="P4" s="204">
        <f>_xlfn.IFNA( INDEX(Minerals!$A$2:$A$1005,MATCH(O4,Minerals!$B$2:$B$1005,0)), 0)</f>
        <v>5</v>
      </c>
      <c r="Q4" s="170">
        <v>0.01</v>
      </c>
      <c r="R4" s="170" t="s">
        <v>193</v>
      </c>
      <c r="S4" s="204">
        <f>_xlfn.IFNA( INDEX(Minerals!$A$2:$A$1005,MATCH(R4,Minerals!$B$2:$B$1005,0)), 0)</f>
        <v>4</v>
      </c>
      <c r="T4" s="170">
        <v>0.01</v>
      </c>
      <c r="V4" s="204">
        <f>_xlfn.IFNA( INDEX(Minerals!$A$2:$A$1005,MATCH(U4,Minerals!$B$2:$B$1005,0)), 0)</f>
        <v>0</v>
      </c>
      <c r="W4" s="170">
        <v>0</v>
      </c>
      <c r="Y4" s="204">
        <f>_xlfn.IFNA( INDEX(Minerals!$A$2:$A$1005,MATCH(X4,Minerals!$B$2:$B$1005,0)), 0)</f>
        <v>0</v>
      </c>
      <c r="Z4" s="170">
        <v>0</v>
      </c>
      <c r="AA4" s="40">
        <f t="shared" si="0"/>
        <v>0.02</v>
      </c>
      <c r="AB4" s="206" t="s">
        <v>227</v>
      </c>
      <c r="AC4" s="204">
        <f>_xlfn.IFNA( INDEX(Monsters!$A$2:$A$1007,MATCH(AB4,Monsters!$B$2:$B$1007,0)), 0)</f>
        <v>1</v>
      </c>
      <c r="AD4" s="170">
        <v>0.01</v>
      </c>
      <c r="AE4" s="206" t="s">
        <v>273</v>
      </c>
      <c r="AF4" s="204">
        <f>_xlfn.IFNA( INDEX(Monsters!$A$2:$A$1007,MATCH(AE4,Monsters!$B$2:$B$1007,0)), 0)</f>
        <v>4</v>
      </c>
      <c r="AG4" s="170">
        <v>0.01</v>
      </c>
      <c r="AI4" s="204">
        <f>_xlfn.IFNA( INDEX(Monsters!$A$2:$A$1007,MATCH(AH4,Monsters!$B$2:$B$1007,0)), 0)</f>
        <v>0</v>
      </c>
      <c r="AJ4" s="170">
        <v>0</v>
      </c>
      <c r="AL4" s="204">
        <f>_xlfn.IFNA( INDEX(Monsters!$A$2:$A$1007,MATCH(AK4,Monsters!$B$2:$B$1007,0)), 0)</f>
        <v>0</v>
      </c>
      <c r="AM4" s="170">
        <v>0</v>
      </c>
      <c r="AO4" s="204">
        <f>_xlfn.IFNA( INDEX(Monsters!$A$2:$A$1007,MATCH(AN4,Monsters!$B$2:$B$1007,0)), 0)</f>
        <v>0</v>
      </c>
      <c r="AP4" s="170">
        <v>0</v>
      </c>
      <c r="AR4" s="204">
        <f>_xlfn.IFNA( INDEX(Monsters!$A$2:$A$1007,MATCH(AQ4,Monsters!$B$2:$B$1007,0)), 0)</f>
        <v>0</v>
      </c>
      <c r="AS4" s="170">
        <v>0</v>
      </c>
      <c r="AU4" s="204">
        <f>_xlfn.IFNA( INDEX(Monsters!$A$2:$A$1007,MATCH(AT4,Monsters!$B$2:$B$1007,0)), 0)</f>
        <v>0</v>
      </c>
      <c r="AV4" s="170">
        <v>0</v>
      </c>
    </row>
    <row r="5" spans="1:48">
      <c r="A5" s="170">
        <v>4</v>
      </c>
      <c r="B5" s="170">
        <v>4</v>
      </c>
      <c r="C5" s="170">
        <v>0</v>
      </c>
      <c r="D5" s="170">
        <v>0.35</v>
      </c>
      <c r="E5" s="169">
        <f t="shared" si="1"/>
        <v>8.9999999999999983E-2</v>
      </c>
      <c r="F5" s="170" t="s">
        <v>174</v>
      </c>
      <c r="G5" s="204">
        <f>_xlfn.IFNA( INDEX(Minerals!$A$2:$A$1005,MATCH(F5,Minerals!$B$2:$B$1005,0)), 0)</f>
        <v>1</v>
      </c>
      <c r="H5" s="170">
        <v>0.04</v>
      </c>
      <c r="I5" s="170" t="s">
        <v>78</v>
      </c>
      <c r="J5" s="204">
        <f>_xlfn.IFNA( INDEX(Minerals!$A$2:$A$1005,MATCH(I5,Minerals!$B$2:$B$1005,0)), 0)</f>
        <v>2</v>
      </c>
      <c r="K5" s="170">
        <v>0.02</v>
      </c>
      <c r="L5" s="170" t="s">
        <v>175</v>
      </c>
      <c r="M5" s="204">
        <f>_xlfn.IFNA( INDEX(Minerals!$A$2:$A$1005,MATCH(L5,Minerals!$B$2:$B$1005,0)), 0)</f>
        <v>3</v>
      </c>
      <c r="N5" s="170">
        <v>0.01</v>
      </c>
      <c r="O5" s="170" t="s">
        <v>222</v>
      </c>
      <c r="P5" s="204">
        <f>_xlfn.IFNA( INDEX(Minerals!$A$2:$A$1005,MATCH(O5,Minerals!$B$2:$B$1005,0)), 0)</f>
        <v>5</v>
      </c>
      <c r="Q5" s="170">
        <v>0.01</v>
      </c>
      <c r="R5" s="170" t="s">
        <v>193</v>
      </c>
      <c r="S5" s="204">
        <f>_xlfn.IFNA( INDEX(Minerals!$A$2:$A$1005,MATCH(R5,Minerals!$B$2:$B$1005,0)), 0)</f>
        <v>4</v>
      </c>
      <c r="T5" s="170">
        <v>0.01</v>
      </c>
      <c r="V5" s="204">
        <f>_xlfn.IFNA( INDEX(Minerals!$A$2:$A$1005,MATCH(U5,Minerals!$B$2:$B$1005,0)), 0)</f>
        <v>0</v>
      </c>
      <c r="W5" s="170">
        <v>0</v>
      </c>
      <c r="Y5" s="204">
        <f>_xlfn.IFNA( INDEX(Minerals!$A$2:$A$1005,MATCH(X5,Minerals!$B$2:$B$1005,0)), 0)</f>
        <v>0</v>
      </c>
      <c r="Z5" s="170">
        <v>0</v>
      </c>
      <c r="AA5" s="40">
        <f t="shared" si="0"/>
        <v>0.02</v>
      </c>
      <c r="AB5" s="206" t="s">
        <v>227</v>
      </c>
      <c r="AC5" s="204">
        <f>_xlfn.IFNA( INDEX(Monsters!$A$2:$A$1007,MATCH(AB5,Monsters!$B$2:$B$1007,0)), 0)</f>
        <v>1</v>
      </c>
      <c r="AD5" s="170">
        <v>0.01</v>
      </c>
      <c r="AE5" s="206" t="s">
        <v>273</v>
      </c>
      <c r="AF5" s="204">
        <f>_xlfn.IFNA( INDEX(Monsters!$A$2:$A$1007,MATCH(AE5,Monsters!$B$2:$B$1007,0)), 0)</f>
        <v>4</v>
      </c>
      <c r="AG5" s="170">
        <v>0.01</v>
      </c>
      <c r="AI5" s="204">
        <f>_xlfn.IFNA( INDEX(Monsters!$A$2:$A$1007,MATCH(AH5,Monsters!$B$2:$B$1007,0)), 0)</f>
        <v>0</v>
      </c>
      <c r="AJ5" s="170">
        <v>0</v>
      </c>
      <c r="AL5" s="204">
        <f>_xlfn.IFNA( INDEX(Monsters!$A$2:$A$1007,MATCH(AK5,Monsters!$B$2:$B$1007,0)), 0)</f>
        <v>0</v>
      </c>
      <c r="AM5" s="170">
        <v>0</v>
      </c>
      <c r="AO5" s="204">
        <f>_xlfn.IFNA( INDEX(Monsters!$A$2:$A$1007,MATCH(AN5,Monsters!$B$2:$B$1007,0)), 0)</f>
        <v>0</v>
      </c>
      <c r="AP5" s="170">
        <v>0</v>
      </c>
      <c r="AR5" s="204">
        <f>_xlfn.IFNA( INDEX(Monsters!$A$2:$A$1007,MATCH(AQ5,Monsters!$B$2:$B$1007,0)), 0)</f>
        <v>0</v>
      </c>
      <c r="AS5" s="170">
        <v>0</v>
      </c>
      <c r="AU5" s="204">
        <f>_xlfn.IFNA( INDEX(Monsters!$A$2:$A$1007,MATCH(AT5,Monsters!$B$2:$B$1007,0)), 0)</f>
        <v>0</v>
      </c>
      <c r="AV5" s="170">
        <v>0</v>
      </c>
    </row>
    <row r="6" spans="1:48">
      <c r="A6" s="170">
        <v>5</v>
      </c>
      <c r="B6" s="170">
        <v>4</v>
      </c>
      <c r="C6" s="170">
        <v>0</v>
      </c>
      <c r="D6" s="170">
        <v>0.35</v>
      </c>
      <c r="E6" s="169">
        <f t="shared" si="1"/>
        <v>8.9999999999999983E-2</v>
      </c>
      <c r="F6" s="170" t="s">
        <v>174</v>
      </c>
      <c r="G6" s="204">
        <f>_xlfn.IFNA( INDEX(Minerals!$A$2:$A$1005,MATCH(F6,Minerals!$B$2:$B$1005,0)), 0)</f>
        <v>1</v>
      </c>
      <c r="H6" s="170">
        <v>0.04</v>
      </c>
      <c r="I6" s="170" t="s">
        <v>78</v>
      </c>
      <c r="J6" s="204">
        <f>_xlfn.IFNA( INDEX(Minerals!$A$2:$A$1005,MATCH(I6,Minerals!$B$2:$B$1005,0)), 0)</f>
        <v>2</v>
      </c>
      <c r="K6" s="170">
        <v>0.02</v>
      </c>
      <c r="L6" s="170" t="s">
        <v>175</v>
      </c>
      <c r="M6" s="204">
        <f>_xlfn.IFNA( INDEX(Minerals!$A$2:$A$1005,MATCH(L6,Minerals!$B$2:$B$1005,0)), 0)</f>
        <v>3</v>
      </c>
      <c r="N6" s="170">
        <v>0.01</v>
      </c>
      <c r="O6" s="170" t="s">
        <v>222</v>
      </c>
      <c r="P6" s="204">
        <f>_xlfn.IFNA( INDEX(Minerals!$A$2:$A$1005,MATCH(O6,Minerals!$B$2:$B$1005,0)), 0)</f>
        <v>5</v>
      </c>
      <c r="Q6" s="170">
        <v>0.01</v>
      </c>
      <c r="R6" s="170" t="s">
        <v>193</v>
      </c>
      <c r="S6" s="204">
        <f>_xlfn.IFNA( INDEX(Minerals!$A$2:$A$1005,MATCH(R6,Minerals!$B$2:$B$1005,0)), 0)</f>
        <v>4</v>
      </c>
      <c r="T6" s="170">
        <v>0.01</v>
      </c>
      <c r="V6" s="204">
        <f>_xlfn.IFNA( INDEX(Minerals!$A$2:$A$1005,MATCH(U6,Minerals!$B$2:$B$1005,0)), 0)</f>
        <v>0</v>
      </c>
      <c r="W6" s="170">
        <v>0</v>
      </c>
      <c r="Y6" s="204">
        <f>_xlfn.IFNA( INDEX(Minerals!$A$2:$A$1005,MATCH(X6,Minerals!$B$2:$B$1005,0)), 0)</f>
        <v>0</v>
      </c>
      <c r="Z6" s="170">
        <v>0</v>
      </c>
      <c r="AA6" s="40">
        <f t="shared" si="0"/>
        <v>0.02</v>
      </c>
      <c r="AB6" s="206" t="s">
        <v>227</v>
      </c>
      <c r="AC6" s="204">
        <f>_xlfn.IFNA( INDEX(Monsters!$A$2:$A$1007,MATCH(AB6,Monsters!$B$2:$B$1007,0)), 0)</f>
        <v>1</v>
      </c>
      <c r="AD6" s="170">
        <v>0.01</v>
      </c>
      <c r="AE6" s="206" t="s">
        <v>273</v>
      </c>
      <c r="AF6" s="204">
        <f>_xlfn.IFNA( INDEX(Monsters!$A$2:$A$1007,MATCH(AE6,Monsters!$B$2:$B$1007,0)), 0)</f>
        <v>4</v>
      </c>
      <c r="AG6" s="170">
        <v>0.01</v>
      </c>
      <c r="AI6" s="204">
        <f>_xlfn.IFNA( INDEX(Monsters!$A$2:$A$1007,MATCH(AH6,Monsters!$B$2:$B$1007,0)), 0)</f>
        <v>0</v>
      </c>
      <c r="AJ6" s="170">
        <v>0</v>
      </c>
      <c r="AL6" s="204">
        <f>_xlfn.IFNA( INDEX(Monsters!$A$2:$A$1007,MATCH(AK6,Monsters!$B$2:$B$1007,0)), 0)</f>
        <v>0</v>
      </c>
      <c r="AM6" s="170">
        <v>0</v>
      </c>
      <c r="AO6" s="204">
        <f>_xlfn.IFNA( INDEX(Monsters!$A$2:$A$1007,MATCH(AN6,Monsters!$B$2:$B$1007,0)), 0)</f>
        <v>0</v>
      </c>
      <c r="AP6" s="170">
        <v>0</v>
      </c>
      <c r="AR6" s="204">
        <f>_xlfn.IFNA( INDEX(Monsters!$A$2:$A$1007,MATCH(AQ6,Monsters!$B$2:$B$1007,0)), 0)</f>
        <v>0</v>
      </c>
      <c r="AS6" s="170">
        <v>0</v>
      </c>
      <c r="AU6" s="204">
        <f>_xlfn.IFNA( INDEX(Monsters!$A$2:$A$1007,MATCH(AT6,Monsters!$B$2:$B$1007,0)), 0)</f>
        <v>0</v>
      </c>
      <c r="AV6" s="170">
        <v>0</v>
      </c>
    </row>
    <row r="7" spans="1:48">
      <c r="A7" s="170">
        <v>6</v>
      </c>
      <c r="B7" s="170">
        <v>5</v>
      </c>
      <c r="C7" s="170">
        <v>0</v>
      </c>
      <c r="D7" s="170">
        <v>0.35</v>
      </c>
      <c r="E7" s="169">
        <f t="shared" si="1"/>
        <v>0.10749999999999998</v>
      </c>
      <c r="F7" s="170" t="s">
        <v>174</v>
      </c>
      <c r="G7" s="204">
        <f>_xlfn.IFNA( INDEX(Minerals!$A$2:$A$1005,MATCH(F7,Minerals!$B$2:$B$1005,0)), 0)</f>
        <v>1</v>
      </c>
      <c r="H7" s="170">
        <v>0.04</v>
      </c>
      <c r="I7" s="170" t="s">
        <v>78</v>
      </c>
      <c r="J7" s="204">
        <f>_xlfn.IFNA( INDEX(Minerals!$A$2:$A$1005,MATCH(I7,Minerals!$B$2:$B$1005,0)), 0)</f>
        <v>2</v>
      </c>
      <c r="K7" s="170">
        <v>0.02</v>
      </c>
      <c r="L7" s="170" t="s">
        <v>175</v>
      </c>
      <c r="M7" s="204">
        <f>_xlfn.IFNA( INDEX(Minerals!$A$2:$A$1005,MATCH(L7,Minerals!$B$2:$B$1005,0)), 0)</f>
        <v>3</v>
      </c>
      <c r="N7" s="170">
        <v>0.01</v>
      </c>
      <c r="O7" s="170" t="s">
        <v>222</v>
      </c>
      <c r="P7" s="204">
        <f>_xlfn.IFNA( INDEX(Minerals!$A$2:$A$1005,MATCH(O7,Minerals!$B$2:$B$1005,0)), 0)</f>
        <v>5</v>
      </c>
      <c r="Q7" s="170">
        <v>0.01</v>
      </c>
      <c r="R7" s="170" t="s">
        <v>193</v>
      </c>
      <c r="S7" s="204">
        <f>_xlfn.IFNA( INDEX(Minerals!$A$2:$A$1005,MATCH(R7,Minerals!$B$2:$B$1005,0)), 0)</f>
        <v>4</v>
      </c>
      <c r="T7" s="170">
        <v>0.01</v>
      </c>
      <c r="U7" s="170" t="s">
        <v>188</v>
      </c>
      <c r="V7" s="204">
        <f>_xlfn.IFNA( INDEX(Minerals!$A$2:$A$1005,MATCH(U7,Minerals!$B$2:$B$1005,0)), 0)</f>
        <v>9</v>
      </c>
      <c r="W7" s="170">
        <v>0.01</v>
      </c>
      <c r="X7" s="170" t="s">
        <v>176</v>
      </c>
      <c r="Y7" s="204">
        <f>_xlfn.IFNA( INDEX(Minerals!$A$2:$A$1005,MATCH(X7,Minerals!$B$2:$B$1005,0)), 0)</f>
        <v>10</v>
      </c>
      <c r="Z7" s="170">
        <v>7.4999999999999997E-3</v>
      </c>
      <c r="AA7" s="40">
        <f t="shared" si="0"/>
        <v>0.03</v>
      </c>
      <c r="AB7" s="206" t="s">
        <v>227</v>
      </c>
      <c r="AC7" s="204">
        <f>_xlfn.IFNA( INDEX(Monsters!$A$2:$A$1007,MATCH(AB7,Monsters!$B$2:$B$1007,0)), 0)</f>
        <v>1</v>
      </c>
      <c r="AD7" s="170">
        <v>0.01</v>
      </c>
      <c r="AE7" s="206" t="s">
        <v>273</v>
      </c>
      <c r="AF7" s="204">
        <f>_xlfn.IFNA( INDEX(Monsters!$A$2:$A$1007,MATCH(AE7,Monsters!$B$2:$B$1007,0)), 0)</f>
        <v>4</v>
      </c>
      <c r="AG7" s="170">
        <v>0.01</v>
      </c>
      <c r="AH7" t="s">
        <v>274</v>
      </c>
      <c r="AI7" s="204">
        <f>_xlfn.IFNA( INDEX(Monsters!$A$2:$A$1007,MATCH(AH7,Monsters!$B$2:$B$1007,0)), 0)</f>
        <v>5</v>
      </c>
      <c r="AJ7" s="170">
        <v>0.01</v>
      </c>
      <c r="AL7" s="204">
        <f>_xlfn.IFNA( INDEX(Monsters!$A$2:$A$1007,MATCH(AK7,Monsters!$B$2:$B$1007,0)), 0)</f>
        <v>0</v>
      </c>
      <c r="AM7" s="170">
        <v>0</v>
      </c>
      <c r="AO7" s="204">
        <f>_xlfn.IFNA( INDEX(Monsters!$A$2:$A$1007,MATCH(AN7,Monsters!$B$2:$B$1007,0)), 0)</f>
        <v>0</v>
      </c>
      <c r="AP7" s="170">
        <v>0</v>
      </c>
      <c r="AR7" s="204">
        <f>_xlfn.IFNA( INDEX(Monsters!$A$2:$A$1007,MATCH(AQ7,Monsters!$B$2:$B$1007,0)), 0)</f>
        <v>0</v>
      </c>
      <c r="AS7" s="170">
        <v>0</v>
      </c>
      <c r="AU7" s="204">
        <f>_xlfn.IFNA( INDEX(Monsters!$A$2:$A$1007,MATCH(AT7,Monsters!$B$2:$B$1007,0)), 0)</f>
        <v>0</v>
      </c>
      <c r="AV7" s="170">
        <v>0</v>
      </c>
    </row>
    <row r="8" spans="1:48">
      <c r="A8" s="170">
        <v>7</v>
      </c>
      <c r="B8" s="170">
        <v>3</v>
      </c>
      <c r="C8" s="170">
        <v>0</v>
      </c>
      <c r="D8" s="170">
        <v>0.35</v>
      </c>
      <c r="E8" s="169">
        <f t="shared" si="1"/>
        <v>0.10749999999999998</v>
      </c>
      <c r="F8" s="170" t="s">
        <v>174</v>
      </c>
      <c r="G8" s="204">
        <f>_xlfn.IFNA( INDEX(Minerals!$A$2:$A$1005,MATCH(F8,Minerals!$B$2:$B$1005,0)), 0)</f>
        <v>1</v>
      </c>
      <c r="H8" s="170">
        <v>0.04</v>
      </c>
      <c r="I8" s="170" t="s">
        <v>78</v>
      </c>
      <c r="J8" s="204">
        <f>_xlfn.IFNA( INDEX(Minerals!$A$2:$A$1005,MATCH(I8,Minerals!$B$2:$B$1005,0)), 0)</f>
        <v>2</v>
      </c>
      <c r="K8" s="170">
        <v>0.02</v>
      </c>
      <c r="L8" s="170" t="s">
        <v>175</v>
      </c>
      <c r="M8" s="204">
        <f>_xlfn.IFNA( INDEX(Minerals!$A$2:$A$1005,MATCH(L8,Minerals!$B$2:$B$1005,0)), 0)</f>
        <v>3</v>
      </c>
      <c r="N8" s="170">
        <v>0.01</v>
      </c>
      <c r="O8" s="170" t="s">
        <v>222</v>
      </c>
      <c r="P8" s="204">
        <f>_xlfn.IFNA( INDEX(Minerals!$A$2:$A$1005,MATCH(O8,Minerals!$B$2:$B$1005,0)), 0)</f>
        <v>5</v>
      </c>
      <c r="Q8" s="170">
        <v>0.01</v>
      </c>
      <c r="R8" s="170" t="s">
        <v>193</v>
      </c>
      <c r="S8" s="204">
        <f>_xlfn.IFNA( INDEX(Minerals!$A$2:$A$1005,MATCH(R8,Minerals!$B$2:$B$1005,0)), 0)</f>
        <v>4</v>
      </c>
      <c r="T8" s="170">
        <v>0.01</v>
      </c>
      <c r="U8" s="170" t="s">
        <v>188</v>
      </c>
      <c r="V8" s="204">
        <f>_xlfn.IFNA( INDEX(Minerals!$A$2:$A$1005,MATCH(U8,Minerals!$B$2:$B$1005,0)), 0)</f>
        <v>9</v>
      </c>
      <c r="W8" s="170">
        <v>0.01</v>
      </c>
      <c r="X8" s="170" t="s">
        <v>176</v>
      </c>
      <c r="Y8" s="204">
        <f>_xlfn.IFNA( INDEX(Minerals!$A$2:$A$1005,MATCH(X8,Minerals!$B$2:$B$1005,0)), 0)</f>
        <v>10</v>
      </c>
      <c r="Z8" s="170">
        <v>7.4999999999999997E-3</v>
      </c>
      <c r="AA8" s="40">
        <f t="shared" si="0"/>
        <v>0.03</v>
      </c>
      <c r="AB8" s="206" t="s">
        <v>227</v>
      </c>
      <c r="AC8" s="204">
        <f>_xlfn.IFNA( INDEX(Monsters!$A$2:$A$1007,MATCH(AB8,Monsters!$B$2:$B$1007,0)), 0)</f>
        <v>1</v>
      </c>
      <c r="AD8" s="170">
        <v>0.01</v>
      </c>
      <c r="AE8" s="206" t="s">
        <v>273</v>
      </c>
      <c r="AF8" s="204">
        <f>_xlfn.IFNA( INDEX(Monsters!$A$2:$A$1007,MATCH(AE8,Monsters!$B$2:$B$1007,0)), 0)</f>
        <v>4</v>
      </c>
      <c r="AG8" s="170">
        <v>0.01</v>
      </c>
      <c r="AH8" t="s">
        <v>274</v>
      </c>
      <c r="AI8" s="204">
        <f>_xlfn.IFNA( INDEX(Monsters!$A$2:$A$1007,MATCH(AH8,Monsters!$B$2:$B$1007,0)), 0)</f>
        <v>5</v>
      </c>
      <c r="AJ8" s="170">
        <v>0.01</v>
      </c>
      <c r="AL8" s="204">
        <f>_xlfn.IFNA( INDEX(Monsters!$A$2:$A$1007,MATCH(AK8,Monsters!$B$2:$B$1007,0)), 0)</f>
        <v>0</v>
      </c>
      <c r="AM8" s="170">
        <v>0</v>
      </c>
      <c r="AO8" s="204">
        <f>_xlfn.IFNA( INDEX(Monsters!$A$2:$A$1007,MATCH(AN8,Monsters!$B$2:$B$1007,0)), 0)</f>
        <v>0</v>
      </c>
      <c r="AP8" s="170">
        <v>0</v>
      </c>
      <c r="AR8" s="204">
        <f>_xlfn.IFNA( INDEX(Monsters!$A$2:$A$1007,MATCH(AQ8,Monsters!$B$2:$B$1007,0)), 0)</f>
        <v>0</v>
      </c>
      <c r="AS8" s="170">
        <v>0</v>
      </c>
      <c r="AU8" s="204">
        <f>_xlfn.IFNA( INDEX(Monsters!$A$2:$A$1007,MATCH(AT8,Monsters!$B$2:$B$1007,0)), 0)</f>
        <v>0</v>
      </c>
      <c r="AV8" s="170">
        <v>0</v>
      </c>
    </row>
    <row r="9" spans="1:48">
      <c r="A9" s="170">
        <v>8</v>
      </c>
      <c r="B9" s="170">
        <v>4</v>
      </c>
      <c r="C9" s="170">
        <v>0</v>
      </c>
      <c r="D9" s="170">
        <v>0.35</v>
      </c>
      <c r="E9" s="169">
        <f t="shared" si="1"/>
        <v>0.10749999999999998</v>
      </c>
      <c r="F9" s="170" t="s">
        <v>174</v>
      </c>
      <c r="G9" s="204">
        <f>_xlfn.IFNA( INDEX(Minerals!$A$2:$A$1005,MATCH(F9,Minerals!$B$2:$B$1005,0)), 0)</f>
        <v>1</v>
      </c>
      <c r="H9" s="170">
        <v>0.04</v>
      </c>
      <c r="I9" s="170" t="s">
        <v>78</v>
      </c>
      <c r="J9" s="204">
        <f>_xlfn.IFNA( INDEX(Minerals!$A$2:$A$1005,MATCH(I9,Minerals!$B$2:$B$1005,0)), 0)</f>
        <v>2</v>
      </c>
      <c r="K9" s="170">
        <v>0.02</v>
      </c>
      <c r="L9" s="170" t="s">
        <v>175</v>
      </c>
      <c r="M9" s="204">
        <f>_xlfn.IFNA( INDEX(Minerals!$A$2:$A$1005,MATCH(L9,Minerals!$B$2:$B$1005,0)), 0)</f>
        <v>3</v>
      </c>
      <c r="N9" s="170">
        <v>0.01</v>
      </c>
      <c r="O9" s="170" t="s">
        <v>222</v>
      </c>
      <c r="P9" s="204">
        <f>_xlfn.IFNA( INDEX(Minerals!$A$2:$A$1005,MATCH(O9,Minerals!$B$2:$B$1005,0)), 0)</f>
        <v>5</v>
      </c>
      <c r="Q9" s="170">
        <v>0.01</v>
      </c>
      <c r="R9" s="170" t="s">
        <v>193</v>
      </c>
      <c r="S9" s="204">
        <f>_xlfn.IFNA( INDEX(Minerals!$A$2:$A$1005,MATCH(R9,Minerals!$B$2:$B$1005,0)), 0)</f>
        <v>4</v>
      </c>
      <c r="T9" s="170">
        <v>0.01</v>
      </c>
      <c r="U9" s="170" t="s">
        <v>188</v>
      </c>
      <c r="V9" s="204">
        <f>_xlfn.IFNA( INDEX(Minerals!$A$2:$A$1005,MATCH(U9,Minerals!$B$2:$B$1005,0)), 0)</f>
        <v>9</v>
      </c>
      <c r="W9" s="170">
        <v>0.01</v>
      </c>
      <c r="X9" s="170" t="s">
        <v>176</v>
      </c>
      <c r="Y9" s="204">
        <f>_xlfn.IFNA( INDEX(Minerals!$A$2:$A$1005,MATCH(X9,Minerals!$B$2:$B$1005,0)), 0)</f>
        <v>10</v>
      </c>
      <c r="Z9" s="170">
        <v>7.4999999999999997E-3</v>
      </c>
      <c r="AA9" s="40">
        <f t="shared" si="0"/>
        <v>0.03</v>
      </c>
      <c r="AB9" s="206" t="s">
        <v>227</v>
      </c>
      <c r="AC9" s="204">
        <f>_xlfn.IFNA( INDEX(Monsters!$A$2:$A$1007,MATCH(AB9,Monsters!$B$2:$B$1007,0)), 0)</f>
        <v>1</v>
      </c>
      <c r="AD9" s="170">
        <v>0.01</v>
      </c>
      <c r="AE9" s="206" t="s">
        <v>273</v>
      </c>
      <c r="AF9" s="204">
        <f>_xlfn.IFNA( INDEX(Monsters!$A$2:$A$1007,MATCH(AE9,Monsters!$B$2:$B$1007,0)), 0)</f>
        <v>4</v>
      </c>
      <c r="AG9" s="170">
        <v>0.01</v>
      </c>
      <c r="AH9" t="s">
        <v>274</v>
      </c>
      <c r="AI9" s="204">
        <f>_xlfn.IFNA( INDEX(Monsters!$A$2:$A$1007,MATCH(AH9,Monsters!$B$2:$B$1007,0)), 0)</f>
        <v>5</v>
      </c>
      <c r="AJ9" s="170">
        <v>0.01</v>
      </c>
      <c r="AL9" s="204">
        <f>_xlfn.IFNA( INDEX(Monsters!$A$2:$A$1007,MATCH(AK9,Monsters!$B$2:$B$1007,0)), 0)</f>
        <v>0</v>
      </c>
      <c r="AM9" s="170">
        <v>0</v>
      </c>
      <c r="AO9" s="204">
        <f>_xlfn.IFNA( INDEX(Monsters!$A$2:$A$1007,MATCH(AN9,Monsters!$B$2:$B$1007,0)), 0)</f>
        <v>0</v>
      </c>
      <c r="AP9" s="170">
        <v>0</v>
      </c>
      <c r="AR9" s="204">
        <f>_xlfn.IFNA( INDEX(Monsters!$A$2:$A$1007,MATCH(AQ9,Monsters!$B$2:$B$1007,0)), 0)</f>
        <v>0</v>
      </c>
      <c r="AS9" s="170">
        <v>0</v>
      </c>
      <c r="AU9" s="204">
        <f>_xlfn.IFNA( INDEX(Monsters!$A$2:$A$1007,MATCH(AT9,Monsters!$B$2:$B$1007,0)), 0)</f>
        <v>0</v>
      </c>
      <c r="AV9" s="170">
        <v>0</v>
      </c>
    </row>
    <row r="10" spans="1:48">
      <c r="A10" s="170">
        <v>9</v>
      </c>
      <c r="B10" s="170">
        <v>3</v>
      </c>
      <c r="C10" s="170">
        <v>0</v>
      </c>
      <c r="D10" s="170">
        <v>0.35</v>
      </c>
      <c r="E10" s="169">
        <f t="shared" si="1"/>
        <v>0.10749999999999998</v>
      </c>
      <c r="F10" s="170" t="s">
        <v>174</v>
      </c>
      <c r="G10" s="204">
        <f>_xlfn.IFNA( INDEX(Minerals!$A$2:$A$1005,MATCH(F10,Minerals!$B$2:$B$1005,0)), 0)</f>
        <v>1</v>
      </c>
      <c r="H10" s="170">
        <v>0.04</v>
      </c>
      <c r="I10" s="170" t="s">
        <v>78</v>
      </c>
      <c r="J10" s="204">
        <f>_xlfn.IFNA( INDEX(Minerals!$A$2:$A$1005,MATCH(I10,Minerals!$B$2:$B$1005,0)), 0)</f>
        <v>2</v>
      </c>
      <c r="K10" s="170">
        <v>0.02</v>
      </c>
      <c r="L10" s="170" t="s">
        <v>175</v>
      </c>
      <c r="M10" s="204">
        <f>_xlfn.IFNA( INDEX(Minerals!$A$2:$A$1005,MATCH(L10,Minerals!$B$2:$B$1005,0)), 0)</f>
        <v>3</v>
      </c>
      <c r="N10" s="170">
        <v>0.01</v>
      </c>
      <c r="O10" s="170" t="s">
        <v>222</v>
      </c>
      <c r="P10" s="204">
        <f>_xlfn.IFNA( INDEX(Minerals!$A$2:$A$1005,MATCH(O10,Minerals!$B$2:$B$1005,0)), 0)</f>
        <v>5</v>
      </c>
      <c r="Q10" s="170">
        <v>0.01</v>
      </c>
      <c r="R10" s="170" t="s">
        <v>193</v>
      </c>
      <c r="S10" s="204">
        <f>_xlfn.IFNA( INDEX(Minerals!$A$2:$A$1005,MATCH(R10,Minerals!$B$2:$B$1005,0)), 0)</f>
        <v>4</v>
      </c>
      <c r="T10" s="170">
        <v>0.01</v>
      </c>
      <c r="U10" s="170" t="s">
        <v>188</v>
      </c>
      <c r="V10" s="204">
        <f>_xlfn.IFNA( INDEX(Minerals!$A$2:$A$1005,MATCH(U10,Minerals!$B$2:$B$1005,0)), 0)</f>
        <v>9</v>
      </c>
      <c r="W10" s="170">
        <v>0.01</v>
      </c>
      <c r="X10" s="170" t="s">
        <v>176</v>
      </c>
      <c r="Y10" s="204">
        <f>_xlfn.IFNA( INDEX(Minerals!$A$2:$A$1005,MATCH(X10,Minerals!$B$2:$B$1005,0)), 0)</f>
        <v>10</v>
      </c>
      <c r="Z10" s="170">
        <v>7.4999999999999997E-3</v>
      </c>
      <c r="AA10" s="40">
        <f t="shared" si="0"/>
        <v>0.03</v>
      </c>
      <c r="AB10" s="206" t="s">
        <v>227</v>
      </c>
      <c r="AC10" s="204">
        <f>_xlfn.IFNA( INDEX(Monsters!$A$2:$A$1007,MATCH(AB10,Monsters!$B$2:$B$1007,0)), 0)</f>
        <v>1</v>
      </c>
      <c r="AD10" s="170">
        <v>0.01</v>
      </c>
      <c r="AE10" s="206" t="s">
        <v>273</v>
      </c>
      <c r="AF10" s="204">
        <f>_xlfn.IFNA( INDEX(Monsters!$A$2:$A$1007,MATCH(AE10,Monsters!$B$2:$B$1007,0)), 0)</f>
        <v>4</v>
      </c>
      <c r="AG10" s="170">
        <v>0.01</v>
      </c>
      <c r="AH10" t="s">
        <v>274</v>
      </c>
      <c r="AI10" s="204">
        <f>_xlfn.IFNA( INDEX(Monsters!$A$2:$A$1007,MATCH(AH10,Monsters!$B$2:$B$1007,0)), 0)</f>
        <v>5</v>
      </c>
      <c r="AJ10" s="170">
        <v>0.01</v>
      </c>
      <c r="AL10" s="204">
        <f>_xlfn.IFNA( INDEX(Monsters!$A$2:$A$1007,MATCH(AK10,Monsters!$B$2:$B$1007,0)), 0)</f>
        <v>0</v>
      </c>
      <c r="AM10" s="170">
        <v>0</v>
      </c>
      <c r="AO10" s="204">
        <f>_xlfn.IFNA( INDEX(Monsters!$A$2:$A$1007,MATCH(AN10,Monsters!$B$2:$B$1007,0)), 0)</f>
        <v>0</v>
      </c>
      <c r="AP10" s="170">
        <v>0</v>
      </c>
      <c r="AR10" s="204">
        <f>_xlfn.IFNA( INDEX(Monsters!$A$2:$A$1007,MATCH(AQ10,Monsters!$B$2:$B$1007,0)), 0)</f>
        <v>0</v>
      </c>
      <c r="AS10" s="170">
        <v>0</v>
      </c>
      <c r="AU10" s="204">
        <f>_xlfn.IFNA( INDEX(Monsters!$A$2:$A$1007,MATCH(AT10,Monsters!$B$2:$B$1007,0)), 0)</f>
        <v>0</v>
      </c>
      <c r="AV10" s="170">
        <v>0</v>
      </c>
    </row>
    <row r="11" spans="1:48">
      <c r="A11" s="170">
        <v>10</v>
      </c>
      <c r="B11" s="170">
        <v>6</v>
      </c>
      <c r="C11" s="170">
        <v>0</v>
      </c>
      <c r="D11" s="170">
        <v>0.35</v>
      </c>
      <c r="E11" s="169">
        <f t="shared" si="1"/>
        <v>0.10749999999999998</v>
      </c>
      <c r="F11" s="170" t="s">
        <v>174</v>
      </c>
      <c r="G11" s="204">
        <f>_xlfn.IFNA( INDEX(Minerals!$A$2:$A$1005,MATCH(F11,Minerals!$B$2:$B$1005,0)), 0)</f>
        <v>1</v>
      </c>
      <c r="H11" s="170">
        <v>0.04</v>
      </c>
      <c r="I11" s="170" t="s">
        <v>78</v>
      </c>
      <c r="J11" s="204">
        <f>_xlfn.IFNA( INDEX(Minerals!$A$2:$A$1005,MATCH(I11,Minerals!$B$2:$B$1005,0)), 0)</f>
        <v>2</v>
      </c>
      <c r="K11" s="170">
        <v>0.02</v>
      </c>
      <c r="L11" s="170" t="s">
        <v>175</v>
      </c>
      <c r="M11" s="204">
        <f>_xlfn.IFNA( INDEX(Minerals!$A$2:$A$1005,MATCH(L11,Minerals!$B$2:$B$1005,0)), 0)</f>
        <v>3</v>
      </c>
      <c r="N11" s="170">
        <v>0.01</v>
      </c>
      <c r="O11" s="170" t="s">
        <v>222</v>
      </c>
      <c r="P11" s="204">
        <f>_xlfn.IFNA( INDEX(Minerals!$A$2:$A$1005,MATCH(O11,Minerals!$B$2:$B$1005,0)), 0)</f>
        <v>5</v>
      </c>
      <c r="Q11" s="170">
        <v>0.01</v>
      </c>
      <c r="R11" s="170" t="s">
        <v>193</v>
      </c>
      <c r="S11" s="204">
        <f>_xlfn.IFNA( INDEX(Minerals!$A$2:$A$1005,MATCH(R11,Minerals!$B$2:$B$1005,0)), 0)</f>
        <v>4</v>
      </c>
      <c r="T11" s="170">
        <v>0.01</v>
      </c>
      <c r="U11" s="170" t="s">
        <v>188</v>
      </c>
      <c r="V11" s="204">
        <f>_xlfn.IFNA( INDEX(Minerals!$A$2:$A$1005,MATCH(U11,Minerals!$B$2:$B$1005,0)), 0)</f>
        <v>9</v>
      </c>
      <c r="W11" s="170">
        <v>0.01</v>
      </c>
      <c r="X11" s="170" t="s">
        <v>176</v>
      </c>
      <c r="Y11" s="204">
        <f>_xlfn.IFNA( INDEX(Minerals!$A$2:$A$1005,MATCH(X11,Minerals!$B$2:$B$1005,0)), 0)</f>
        <v>10</v>
      </c>
      <c r="Z11" s="170">
        <v>7.4999999999999997E-3</v>
      </c>
      <c r="AA11" s="40">
        <f t="shared" si="0"/>
        <v>0.03</v>
      </c>
      <c r="AB11" s="206" t="s">
        <v>227</v>
      </c>
      <c r="AC11" s="204">
        <f>_xlfn.IFNA( INDEX(Monsters!$A$2:$A$1007,MATCH(AB11,Monsters!$B$2:$B$1007,0)), 0)</f>
        <v>1</v>
      </c>
      <c r="AD11" s="170">
        <v>0.01</v>
      </c>
      <c r="AE11" s="206" t="s">
        <v>273</v>
      </c>
      <c r="AF11" s="204">
        <f>_xlfn.IFNA( INDEX(Monsters!$A$2:$A$1007,MATCH(AE11,Monsters!$B$2:$B$1007,0)), 0)</f>
        <v>4</v>
      </c>
      <c r="AG11" s="170">
        <v>0.01</v>
      </c>
      <c r="AH11" t="s">
        <v>274</v>
      </c>
      <c r="AI11" s="204">
        <f>_xlfn.IFNA( INDEX(Monsters!$A$2:$A$1007,MATCH(AH11,Monsters!$B$2:$B$1007,0)), 0)</f>
        <v>5</v>
      </c>
      <c r="AJ11" s="170">
        <v>0.01</v>
      </c>
      <c r="AL11" s="204">
        <f>_xlfn.IFNA( INDEX(Monsters!$A$2:$A$1007,MATCH(AK11,Monsters!$B$2:$B$1007,0)), 0)</f>
        <v>0</v>
      </c>
      <c r="AM11" s="170">
        <v>0</v>
      </c>
      <c r="AO11" s="204">
        <f>_xlfn.IFNA( INDEX(Monsters!$A$2:$A$1007,MATCH(AN11,Monsters!$B$2:$B$1007,0)), 0)</f>
        <v>0</v>
      </c>
      <c r="AP11" s="170">
        <v>0</v>
      </c>
      <c r="AR11" s="204">
        <f>_xlfn.IFNA( INDEX(Monsters!$A$2:$A$1007,MATCH(AQ11,Monsters!$B$2:$B$1007,0)), 0)</f>
        <v>0</v>
      </c>
      <c r="AS11" s="170">
        <v>0</v>
      </c>
      <c r="AU11" s="204">
        <f>_xlfn.IFNA( INDEX(Monsters!$A$2:$A$1007,MATCH(AT11,Monsters!$B$2:$B$1007,0)), 0)</f>
        <v>0</v>
      </c>
      <c r="AV11" s="170">
        <v>0</v>
      </c>
    </row>
    <row r="12" spans="1:48">
      <c r="A12" s="170">
        <v>11</v>
      </c>
      <c r="B12" s="170">
        <v>7</v>
      </c>
      <c r="C12" s="170">
        <v>0</v>
      </c>
      <c r="D12" s="170">
        <v>0.35</v>
      </c>
      <c r="E12" s="169">
        <f t="shared" si="1"/>
        <v>9.7500000000000003E-2</v>
      </c>
      <c r="F12" s="170" t="s">
        <v>174</v>
      </c>
      <c r="G12" s="204">
        <f>_xlfn.IFNA( INDEX(Minerals!$A$2:$A$1005,MATCH(F12,Minerals!$B$2:$B$1005,0)), 0)</f>
        <v>1</v>
      </c>
      <c r="H12" s="170">
        <v>0.03</v>
      </c>
      <c r="I12" s="170" t="s">
        <v>78</v>
      </c>
      <c r="J12" s="204">
        <f>_xlfn.IFNA( INDEX(Minerals!$A$2:$A$1005,MATCH(I12,Minerals!$B$2:$B$1005,0)), 0)</f>
        <v>2</v>
      </c>
      <c r="K12" s="170">
        <v>0.02</v>
      </c>
      <c r="L12" s="170" t="s">
        <v>175</v>
      </c>
      <c r="M12" s="204">
        <f>_xlfn.IFNA( INDEX(Minerals!$A$2:$A$1005,MATCH(L12,Minerals!$B$2:$B$1005,0)), 0)</f>
        <v>3</v>
      </c>
      <c r="N12" s="170">
        <v>0.01</v>
      </c>
      <c r="O12" s="170" t="s">
        <v>222</v>
      </c>
      <c r="P12" s="204">
        <f>_xlfn.IFNA( INDEX(Minerals!$A$2:$A$1005,MATCH(O12,Minerals!$B$2:$B$1005,0)), 0)</f>
        <v>5</v>
      </c>
      <c r="Q12" s="170">
        <v>0.01</v>
      </c>
      <c r="R12" s="170" t="s">
        <v>193</v>
      </c>
      <c r="S12" s="204">
        <f>_xlfn.IFNA( INDEX(Minerals!$A$2:$A$1005,MATCH(R12,Minerals!$B$2:$B$1005,0)), 0)</f>
        <v>4</v>
      </c>
      <c r="T12" s="170">
        <v>0.01</v>
      </c>
      <c r="U12" s="170" t="s">
        <v>188</v>
      </c>
      <c r="V12" s="204">
        <f>_xlfn.IFNA( INDEX(Minerals!$A$2:$A$1005,MATCH(U12,Minerals!$B$2:$B$1005,0)), 0)</f>
        <v>9</v>
      </c>
      <c r="W12" s="170">
        <v>0.01</v>
      </c>
      <c r="X12" s="170" t="s">
        <v>176</v>
      </c>
      <c r="Y12" s="204">
        <f>_xlfn.IFNA( INDEX(Minerals!$A$2:$A$1005,MATCH(X12,Minerals!$B$2:$B$1005,0)), 0)</f>
        <v>10</v>
      </c>
      <c r="Z12" s="170">
        <v>7.4999999999999997E-3</v>
      </c>
      <c r="AA12" s="40">
        <f t="shared" si="0"/>
        <v>0.03</v>
      </c>
      <c r="AB12" s="206" t="s">
        <v>227</v>
      </c>
      <c r="AC12" s="204">
        <f>_xlfn.IFNA( INDEX(Monsters!$A$2:$A$1007,MATCH(AB12,Monsters!$B$2:$B$1007,0)), 0)</f>
        <v>1</v>
      </c>
      <c r="AD12" s="170">
        <v>0.01</v>
      </c>
      <c r="AE12" s="206" t="s">
        <v>273</v>
      </c>
      <c r="AF12" s="204">
        <f>_xlfn.IFNA( INDEX(Monsters!$A$2:$A$1007,MATCH(AE12,Monsters!$B$2:$B$1007,0)), 0)</f>
        <v>4</v>
      </c>
      <c r="AG12" s="170">
        <v>0.01</v>
      </c>
      <c r="AH12" t="s">
        <v>274</v>
      </c>
      <c r="AI12" s="204">
        <f>_xlfn.IFNA( INDEX(Monsters!$A$2:$A$1007,MATCH(AH12,Monsters!$B$2:$B$1007,0)), 0)</f>
        <v>5</v>
      </c>
      <c r="AJ12" s="170">
        <v>0.01</v>
      </c>
      <c r="AL12" s="204">
        <f>_xlfn.IFNA( INDEX(Monsters!$A$2:$A$1007,MATCH(AK12,Monsters!$B$2:$B$1007,0)), 0)</f>
        <v>0</v>
      </c>
      <c r="AM12" s="170">
        <v>0</v>
      </c>
      <c r="AO12" s="204">
        <f>_xlfn.IFNA( INDEX(Monsters!$A$2:$A$1007,MATCH(AN12,Monsters!$B$2:$B$1007,0)), 0)</f>
        <v>0</v>
      </c>
      <c r="AP12" s="170">
        <v>0</v>
      </c>
      <c r="AR12" s="204">
        <f>_xlfn.IFNA( INDEX(Monsters!$A$2:$A$1007,MATCH(AQ12,Monsters!$B$2:$B$1007,0)), 0)</f>
        <v>0</v>
      </c>
      <c r="AS12" s="170">
        <v>0</v>
      </c>
      <c r="AU12" s="204">
        <f>_xlfn.IFNA( INDEX(Monsters!$A$2:$A$1007,MATCH(AT12,Monsters!$B$2:$B$1007,0)), 0)</f>
        <v>0</v>
      </c>
      <c r="AV12" s="170">
        <v>0</v>
      </c>
    </row>
  </sheetData>
  <phoneticPr fontId="29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BE3748B-6443-4EC8-AD58-2CCACDAAEBAB}">
          <x14:formula1>
            <xm:f>Minerals!$B$2:$B$251</xm:f>
          </x14:formula1>
          <xm:sqref>F2:F12 X2:X12 O2:O12 U2:U12 R2:R12 L2:L12 I2:I12</xm:sqref>
        </x14:dataValidation>
        <x14:dataValidation type="list" allowBlank="1" showInputMessage="1" showErrorMessage="1" xr:uid="{3E17D47D-F4FD-4C04-9AC8-BEA80A7F23D1}">
          <x14:formula1>
            <xm:f>Monsters!$B$2:$B$1001</xm:f>
          </x14:formula1>
          <xm:sqref>AE2:AE12 AT2:AT12 AB2:AB12 AQ2:AQ12 AN2:AN12 AK2:AK12 AH2:AH12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94DC5-B970-43B3-8D9E-312F0F30906C}">
  <sheetPr codeName="Sheet4"/>
  <dimension ref="A1:N34"/>
  <sheetViews>
    <sheetView zoomScale="130" zoomScaleNormal="130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16.5703125" style="54" bestFit="1" customWidth="1"/>
    <col min="2" max="2" width="8.7109375" style="63" bestFit="1" customWidth="1"/>
    <col min="3" max="3" width="13.140625" style="54" bestFit="1" customWidth="1"/>
    <col min="4" max="4" width="8.5703125" style="63" bestFit="1" customWidth="1"/>
    <col min="5" max="5" width="10.28515625" style="57" bestFit="1" customWidth="1"/>
    <col min="6" max="6" width="6.7109375" style="67" bestFit="1" customWidth="1"/>
    <col min="7" max="7" width="10.28515625" style="58" bestFit="1" customWidth="1"/>
    <col min="8" max="8" width="11.42578125" style="56" bestFit="1" customWidth="1"/>
    <col min="9" max="9" width="6.7109375" style="62" bestFit="1" customWidth="1"/>
    <col min="10" max="10" width="10.28515625" style="59" bestFit="1" customWidth="1"/>
    <col min="11" max="11" width="12.85546875" style="55" bestFit="1" customWidth="1"/>
    <col min="12" max="12" width="6.7109375" style="68" bestFit="1" customWidth="1"/>
    <col min="13" max="13" width="10.28515625" style="60" bestFit="1" customWidth="1"/>
    <col min="14" max="14" width="21.42578125" style="61" bestFit="1" customWidth="1"/>
    <col min="15" max="16384" width="9" style="17"/>
  </cols>
  <sheetData>
    <row r="1" spans="1:14" s="46" customFormat="1" ht="15.75" thickBot="1">
      <c r="A1" s="129" t="s">
        <v>105</v>
      </c>
      <c r="B1" s="130" t="s">
        <v>106</v>
      </c>
      <c r="C1" s="129" t="s">
        <v>115</v>
      </c>
      <c r="D1" s="130" t="s">
        <v>116</v>
      </c>
      <c r="E1" s="131" t="s">
        <v>94</v>
      </c>
      <c r="F1" s="132" t="s">
        <v>92</v>
      </c>
      <c r="G1" s="133" t="s">
        <v>93</v>
      </c>
      <c r="H1" s="134" t="s">
        <v>95</v>
      </c>
      <c r="I1" s="135" t="s">
        <v>96</v>
      </c>
      <c r="J1" s="136" t="s">
        <v>97</v>
      </c>
      <c r="K1" s="137" t="s">
        <v>98</v>
      </c>
      <c r="L1" s="138" t="s">
        <v>99</v>
      </c>
      <c r="M1" s="139" t="s">
        <v>100</v>
      </c>
      <c r="N1" s="140" t="s">
        <v>118</v>
      </c>
    </row>
    <row r="2" spans="1:14" s="143" customFormat="1">
      <c r="A2" s="141" t="s">
        <v>4</v>
      </c>
      <c r="B2" s="100">
        <f>_xlfn.IFNA(INDEX(AllItems!$A$2:$A$1014,MATCH(A2,AllItems!$B$2:$B$1014,0)), 0)</f>
        <v>1</v>
      </c>
      <c r="C2" s="101" t="s">
        <v>110</v>
      </c>
      <c r="D2" s="100">
        <f>_xlfn.IFNA(INDEX(Source!$A$2:$A$986,MATCH(C2,Source!$B$2:$B$986,0)),"")</f>
        <v>1</v>
      </c>
      <c r="E2" s="102"/>
      <c r="F2" s="103">
        <f>_xlfn.IFNA( INDEX(AllItems!$A$2:$A$1014,MATCH(E2,AllItems!$B$2:$B$1014,0)), 0)</f>
        <v>0</v>
      </c>
      <c r="G2" s="104">
        <v>0</v>
      </c>
      <c r="H2" s="105"/>
      <c r="I2" s="106">
        <f>_xlfn.IFNA( INDEX(AllItems!$A$2:$A$1014,MATCH(H2,AllItems!$B$2:$B$1014,0)), 0)</f>
        <v>0</v>
      </c>
      <c r="J2" s="107">
        <v>0</v>
      </c>
      <c r="K2" s="108"/>
      <c r="L2" s="109">
        <f>_xlfn.IFNA( INDEX(AllItems!$A$2:$A$1014,MATCH(K2,AllItems!$B$2:$B$1014,0)), 0)</f>
        <v>0</v>
      </c>
      <c r="M2" s="142">
        <v>0</v>
      </c>
      <c r="N2" s="111">
        <v>0</v>
      </c>
    </row>
    <row r="3" spans="1:14" s="145" customFormat="1">
      <c r="A3" s="144" t="s">
        <v>8</v>
      </c>
      <c r="B3" s="66">
        <f>_xlfn.IFNA(INDEX(AllItems!$A$2:$A$1014,MATCH(A3,AllItems!$B$2:$B$1014,0)), 0)</f>
        <v>2</v>
      </c>
      <c r="C3" s="64" t="s">
        <v>110</v>
      </c>
      <c r="D3" s="66">
        <f>_xlfn.IFNA(INDEX(Source!$A$2:$A$986,MATCH(C3,Source!$B$2:$B$986,0)),"")</f>
        <v>1</v>
      </c>
      <c r="E3" s="57"/>
      <c r="F3" s="67">
        <f>_xlfn.IFNA( INDEX(AllItems!$A$2:$A$1014,MATCH(E3,AllItems!$B$2:$B$1014,0)), 0)</f>
        <v>0</v>
      </c>
      <c r="G3" s="58">
        <v>0</v>
      </c>
      <c r="H3" s="56"/>
      <c r="I3" s="62">
        <f>_xlfn.IFNA( INDEX(AllItems!$A$2:$A$1014,MATCH(H3,AllItems!$B$2:$B$1014,0)), 0)</f>
        <v>0</v>
      </c>
      <c r="J3" s="59">
        <v>0</v>
      </c>
      <c r="K3" s="55"/>
      <c r="L3" s="68">
        <f>_xlfn.IFNA( INDEX(AllItems!$A$2:$A$1014,MATCH(K3,AllItems!$B$2:$B$1014,0)), 0)</f>
        <v>0</v>
      </c>
      <c r="M3" s="60">
        <v>0</v>
      </c>
      <c r="N3" s="65">
        <v>1</v>
      </c>
    </row>
    <row r="4" spans="1:14" s="145" customFormat="1">
      <c r="A4" s="144" t="s">
        <v>37</v>
      </c>
      <c r="B4" s="66">
        <f>_xlfn.IFNA(INDEX(AllItems!$A$2:$A$1014,MATCH(A4,AllItems!$B$2:$B$1014,0)), 0)</f>
        <v>3</v>
      </c>
      <c r="C4" s="64" t="s">
        <v>110</v>
      </c>
      <c r="D4" s="66">
        <f>_xlfn.IFNA(INDEX(Source!$A$2:$A$986,MATCH(C4,Source!$B$2:$B$986,0)),"")</f>
        <v>1</v>
      </c>
      <c r="E4" s="57"/>
      <c r="F4" s="67">
        <f>_xlfn.IFNA( INDEX(AllItems!$A$2:$A$1014,MATCH(E4,AllItems!$B$2:$B$1014,0)), 0)</f>
        <v>0</v>
      </c>
      <c r="G4" s="58">
        <v>0</v>
      </c>
      <c r="H4" s="56"/>
      <c r="I4" s="62">
        <f>_xlfn.IFNA( INDEX(AllItems!$A$2:$A$1014,MATCH(H4,AllItems!$B$2:$B$1014,0)), 0)</f>
        <v>0</v>
      </c>
      <c r="J4" s="59">
        <v>0</v>
      </c>
      <c r="K4" s="55"/>
      <c r="L4" s="68">
        <f>_xlfn.IFNA( INDEX(AllItems!$A$2:$A$1014,MATCH(K4,AllItems!$B$2:$B$1014,0)), 0)</f>
        <v>0</v>
      </c>
      <c r="M4" s="60">
        <v>0</v>
      </c>
      <c r="N4" s="65">
        <v>2</v>
      </c>
    </row>
    <row r="5" spans="1:14" s="145" customFormat="1">
      <c r="A5" s="144" t="s">
        <v>9</v>
      </c>
      <c r="B5" s="66">
        <f>_xlfn.IFNA(INDEX(AllItems!$A$2:$A$1014,MATCH(A5,AllItems!$B$2:$B$1014,0)), 0)</f>
        <v>4</v>
      </c>
      <c r="C5" s="64" t="s">
        <v>110</v>
      </c>
      <c r="D5" s="66">
        <f>_xlfn.IFNA(INDEX(Source!$A$2:$A$986,MATCH(C5,Source!$B$2:$B$986,0)),"")</f>
        <v>1</v>
      </c>
      <c r="E5" s="57"/>
      <c r="F5" s="67">
        <f>_xlfn.IFNA( INDEX(AllItems!$A$2:$A$1014,MATCH(E5,AllItems!$B$2:$B$1014,0)), 0)</f>
        <v>0</v>
      </c>
      <c r="G5" s="58">
        <v>0</v>
      </c>
      <c r="H5" s="56"/>
      <c r="I5" s="62">
        <f>_xlfn.IFNA( INDEX(AllItems!$A$2:$A$1014,MATCH(H5,AllItems!$B$2:$B$1014,0)), 0)</f>
        <v>0</v>
      </c>
      <c r="J5" s="59">
        <v>0</v>
      </c>
      <c r="K5" s="55"/>
      <c r="L5" s="68">
        <f>_xlfn.IFNA( INDEX(AllItems!$A$2:$A$1014,MATCH(K5,AllItems!$B$2:$B$1014,0)), 0)</f>
        <v>0</v>
      </c>
      <c r="M5" s="60">
        <v>0</v>
      </c>
      <c r="N5" s="65">
        <v>3</v>
      </c>
    </row>
    <row r="6" spans="1:14" s="145" customFormat="1">
      <c r="A6" s="144" t="s">
        <v>70</v>
      </c>
      <c r="B6" s="66">
        <f>_xlfn.IFNA(INDEX(AllItems!$A$2:$A$1014,MATCH(A6,AllItems!$B$2:$B$1014,0)), 0)</f>
        <v>5</v>
      </c>
      <c r="C6" s="64" t="s">
        <v>110</v>
      </c>
      <c r="D6" s="66">
        <f>_xlfn.IFNA(INDEX(Source!$A$2:$A$986,MATCH(C6,Source!$B$2:$B$986,0)),"")</f>
        <v>1</v>
      </c>
      <c r="E6" s="57"/>
      <c r="F6" s="67">
        <f>_xlfn.IFNA( INDEX(AllItems!$A$2:$A$1014,MATCH(E6,AllItems!$B$2:$B$1014,0)), 0)</f>
        <v>0</v>
      </c>
      <c r="G6" s="58">
        <v>0</v>
      </c>
      <c r="H6" s="56"/>
      <c r="I6" s="62">
        <f>_xlfn.IFNA( INDEX(AllItems!$A$2:$A$1014,MATCH(H6,AllItems!$B$2:$B$1014,0)), 0)</f>
        <v>0</v>
      </c>
      <c r="J6" s="59">
        <v>0</v>
      </c>
      <c r="K6" s="55"/>
      <c r="L6" s="68">
        <f>_xlfn.IFNA( INDEX(AllItems!$A$2:$A$1014,MATCH(K6,AllItems!$B$2:$B$1014,0)), 0)</f>
        <v>0</v>
      </c>
      <c r="M6" s="60">
        <v>0</v>
      </c>
      <c r="N6" s="65">
        <v>4</v>
      </c>
    </row>
    <row r="7" spans="1:14" s="145" customFormat="1">
      <c r="A7" s="144" t="s">
        <v>11</v>
      </c>
      <c r="B7" s="66">
        <f>_xlfn.IFNA(INDEX(AllItems!$A$2:$A$1014,MATCH(A7,AllItems!$B$2:$B$1014,0)), 0)</f>
        <v>6</v>
      </c>
      <c r="C7" s="64" t="s">
        <v>110</v>
      </c>
      <c r="D7" s="66">
        <f>_xlfn.IFNA(INDEX(Source!$A$2:$A$986,MATCH(C7,Source!$B$2:$B$986,0)),"")</f>
        <v>1</v>
      </c>
      <c r="E7" s="57"/>
      <c r="F7" s="67">
        <f>_xlfn.IFNA( INDEX(AllItems!$A$2:$A$1014,MATCH(E7,AllItems!$B$2:$B$1014,0)), 0)</f>
        <v>0</v>
      </c>
      <c r="G7" s="58">
        <v>0</v>
      </c>
      <c r="H7" s="56"/>
      <c r="I7" s="62">
        <f>_xlfn.IFNA( INDEX(AllItems!$A$2:$A$1014,MATCH(H7,AllItems!$B$2:$B$1014,0)), 0)</f>
        <v>0</v>
      </c>
      <c r="J7" s="59">
        <v>0</v>
      </c>
      <c r="K7" s="55"/>
      <c r="L7" s="68">
        <f>_xlfn.IFNA( INDEX(AllItems!$A$2:$A$1014,MATCH(K7,AllItems!$B$2:$B$1014,0)), 0)</f>
        <v>0</v>
      </c>
      <c r="M7" s="60">
        <v>0</v>
      </c>
      <c r="N7" s="65">
        <v>5</v>
      </c>
    </row>
    <row r="8" spans="1:14" s="145" customFormat="1">
      <c r="A8" s="144" t="s">
        <v>10</v>
      </c>
      <c r="B8" s="66">
        <f>_xlfn.IFNA(INDEX(AllItems!$A$2:$A$1014,MATCH(A8,AllItems!$B$2:$B$1014,0)), 0)</f>
        <v>7</v>
      </c>
      <c r="C8" s="64" t="s">
        <v>110</v>
      </c>
      <c r="D8" s="66">
        <f>_xlfn.IFNA(INDEX(Source!$A$2:$A$986,MATCH(C8,Source!$B$2:$B$986,0)),"")</f>
        <v>1</v>
      </c>
      <c r="E8" s="57"/>
      <c r="F8" s="67">
        <f>_xlfn.IFNA( INDEX(AllItems!$A$2:$A$1014,MATCH(E8,AllItems!$B$2:$B$1014,0)), 0)</f>
        <v>0</v>
      </c>
      <c r="G8" s="58">
        <v>0</v>
      </c>
      <c r="H8" s="56"/>
      <c r="I8" s="62">
        <f>_xlfn.IFNA( INDEX(AllItems!$A$2:$A$1014,MATCH(H8,AllItems!$B$2:$B$1014,0)), 0)</f>
        <v>0</v>
      </c>
      <c r="J8" s="59">
        <v>0</v>
      </c>
      <c r="K8" s="55"/>
      <c r="L8" s="68">
        <f>_xlfn.IFNA( INDEX(AllItems!$A$2:$A$1014,MATCH(K8,AllItems!$B$2:$B$1014,0)), 0)</f>
        <v>0</v>
      </c>
      <c r="M8" s="60">
        <v>0</v>
      </c>
      <c r="N8" s="65">
        <v>6</v>
      </c>
    </row>
    <row r="9" spans="1:14" s="145" customFormat="1">
      <c r="A9" s="144" t="s">
        <v>66</v>
      </c>
      <c r="B9" s="66">
        <f>_xlfn.IFNA(INDEX(AllItems!$A$2:$A$1014,MATCH(A9,AllItems!$B$2:$B$1014,0)), 0)</f>
        <v>8</v>
      </c>
      <c r="C9" s="64" t="s">
        <v>110</v>
      </c>
      <c r="D9" s="66">
        <f>_xlfn.IFNA(INDEX(Source!$A$2:$A$986,MATCH(C9,Source!$B$2:$B$986,0)),"")</f>
        <v>1</v>
      </c>
      <c r="E9" s="57"/>
      <c r="F9" s="67">
        <f>_xlfn.IFNA( INDEX(AllItems!$A$2:$A$1014,MATCH(E9,AllItems!$B$2:$B$1014,0)), 0)</f>
        <v>0</v>
      </c>
      <c r="G9" s="58">
        <v>0</v>
      </c>
      <c r="H9" s="56"/>
      <c r="I9" s="62">
        <f>_xlfn.IFNA( INDEX(AllItems!$A$2:$A$1014,MATCH(H9,AllItems!$B$2:$B$1014,0)), 0)</f>
        <v>0</v>
      </c>
      <c r="J9" s="59">
        <v>0</v>
      </c>
      <c r="K9" s="55"/>
      <c r="L9" s="68">
        <f>_xlfn.IFNA( INDEX(AllItems!$A$2:$A$1014,MATCH(K9,AllItems!$B$2:$B$1014,0)), 0)</f>
        <v>0</v>
      </c>
      <c r="M9" s="60">
        <v>0</v>
      </c>
      <c r="N9" s="65">
        <v>7</v>
      </c>
    </row>
    <row r="10" spans="1:14" s="145" customFormat="1">
      <c r="A10" s="144" t="s">
        <v>68</v>
      </c>
      <c r="B10" s="66">
        <f>_xlfn.IFNA(INDEX(AllItems!$A$2:$A$1014,MATCH(A10,AllItems!$B$2:$B$1014,0)), 0)</f>
        <v>9</v>
      </c>
      <c r="C10" s="64" t="s">
        <v>110</v>
      </c>
      <c r="D10" s="66">
        <f>_xlfn.IFNA(INDEX(Source!$A$2:$A$986,MATCH(C10,Source!$B$2:$B$986,0)),"")</f>
        <v>1</v>
      </c>
      <c r="E10" s="57"/>
      <c r="F10" s="67">
        <f>_xlfn.IFNA( INDEX(AllItems!$A$2:$A$1014,MATCH(E10,AllItems!$B$2:$B$1014,0)), 0)</f>
        <v>0</v>
      </c>
      <c r="G10" s="58">
        <v>0</v>
      </c>
      <c r="H10" s="56"/>
      <c r="I10" s="62">
        <f>_xlfn.IFNA( INDEX(AllItems!$A$2:$A$1014,MATCH(H10,AllItems!$B$2:$B$1014,0)), 0)</f>
        <v>0</v>
      </c>
      <c r="J10" s="59">
        <v>0</v>
      </c>
      <c r="K10" s="55"/>
      <c r="L10" s="68">
        <f>_xlfn.IFNA( INDEX(AllItems!$A$2:$A$1014,MATCH(K10,AllItems!$B$2:$B$1014,0)), 0)</f>
        <v>0</v>
      </c>
      <c r="M10" s="60">
        <v>0</v>
      </c>
      <c r="N10" s="65">
        <v>8</v>
      </c>
    </row>
    <row r="11" spans="1:14" s="114" customFormat="1">
      <c r="A11" s="144" t="s">
        <v>43</v>
      </c>
      <c r="B11" s="66">
        <f>_xlfn.IFNA(INDEX(AllItems!$A$2:$A$1014,MATCH(A11,AllItems!$B$2:$B$1014,0)), 0)</f>
        <v>10</v>
      </c>
      <c r="C11" s="64" t="s">
        <v>110</v>
      </c>
      <c r="D11" s="66">
        <f>_xlfn.IFNA(INDEX(Source!$A$2:$A$986,MATCH(C11,Source!$B$2:$B$986,0)),"")</f>
        <v>1</v>
      </c>
      <c r="E11" s="57"/>
      <c r="F11" s="67">
        <f>_xlfn.IFNA( INDEX(AllItems!$A$2:$A$1014,MATCH(E11,AllItems!$B$2:$B$1014,0)), 0)</f>
        <v>0</v>
      </c>
      <c r="G11" s="58">
        <v>0</v>
      </c>
      <c r="H11" s="56"/>
      <c r="I11" s="62">
        <f>_xlfn.IFNA( INDEX(AllItems!$A$2:$A$1014,MATCH(H11,AllItems!$B$2:$B$1014,0)), 0)</f>
        <v>0</v>
      </c>
      <c r="J11" s="59">
        <v>0</v>
      </c>
      <c r="K11" s="55"/>
      <c r="L11" s="68">
        <f>_xlfn.IFNA( INDEX(AllItems!$A$2:$A$1014,MATCH(K11,AllItems!$B$2:$B$1014,0)), 0)</f>
        <v>0</v>
      </c>
      <c r="M11" s="60">
        <v>0</v>
      </c>
      <c r="N11" s="65">
        <v>9</v>
      </c>
    </row>
    <row r="12" spans="1:14" s="128" customFormat="1" ht="15.75" thickBot="1">
      <c r="A12" s="146" t="s">
        <v>69</v>
      </c>
      <c r="B12" s="116">
        <f>_xlfn.IFNA(INDEX(AllItems!$A$2:$A$1014,MATCH(A12,AllItems!$B$2:$B$1014,0)), 0)</f>
        <v>11</v>
      </c>
      <c r="C12" s="117" t="s">
        <v>110</v>
      </c>
      <c r="D12" s="116">
        <f>_xlfn.IFNA(INDEX(Source!$A$2:$A$986,MATCH(C12,Source!$B$2:$B$986,0)),"")</f>
        <v>1</v>
      </c>
      <c r="E12" s="118"/>
      <c r="F12" s="119">
        <f>_xlfn.IFNA( INDEX(AllItems!$A$2:$A$1014,MATCH(E12,AllItems!$B$2:$B$1014,0)), 0)</f>
        <v>0</v>
      </c>
      <c r="G12" s="120">
        <v>0</v>
      </c>
      <c r="H12" s="121"/>
      <c r="I12" s="122">
        <f>_xlfn.IFNA( INDEX(AllItems!$A$2:$A$1014,MATCH(H12,AllItems!$B$2:$B$1014,0)), 0)</f>
        <v>0</v>
      </c>
      <c r="J12" s="123">
        <v>0</v>
      </c>
      <c r="K12" s="124"/>
      <c r="L12" s="125">
        <f>_xlfn.IFNA( INDEX(AllItems!$A$2:$A$1014,MATCH(K12,AllItems!$B$2:$B$1014,0)), 0)</f>
        <v>0</v>
      </c>
      <c r="M12" s="147">
        <v>0</v>
      </c>
      <c r="N12" s="127">
        <v>10</v>
      </c>
    </row>
    <row r="13" spans="1:14" s="112" customFormat="1">
      <c r="A13" s="99" t="s">
        <v>85</v>
      </c>
      <c r="B13" s="100">
        <f>_xlfn.IFNA(INDEX(AllItems!$A$2:$A$1014,MATCH(A13,AllItems!$B$2:$B$1014,0)), 0)</f>
        <v>12</v>
      </c>
      <c r="C13" s="101" t="s">
        <v>15</v>
      </c>
      <c r="D13" s="100">
        <f>_xlfn.IFNA(INDEX(Source!$A$2:$A$986,MATCH(C13,Source!$B$2:$B$986,0)),"")</f>
        <v>2</v>
      </c>
      <c r="E13" s="102" t="s">
        <v>4</v>
      </c>
      <c r="F13" s="103">
        <f>_xlfn.IFNA( INDEX(AllItems!$A$2:$A$1014,MATCH(E13,AllItems!$B$2:$B$1014,0)), 0)</f>
        <v>1</v>
      </c>
      <c r="G13" s="104">
        <v>2</v>
      </c>
      <c r="H13" s="105"/>
      <c r="I13" s="106">
        <f>_xlfn.IFNA( INDEX(AllItems!$A$2:$A$1014,MATCH(H13,AllItems!$B$2:$B$1014,0)), 0)</f>
        <v>0</v>
      </c>
      <c r="J13" s="107">
        <v>0</v>
      </c>
      <c r="K13" s="108"/>
      <c r="L13" s="109">
        <f>_xlfn.IFNA( INDEX(AllItems!$A$2:$A$1014,MATCH(K13,AllItems!$B$2:$B$1014,0)), 0)</f>
        <v>0</v>
      </c>
      <c r="M13" s="110">
        <v>0</v>
      </c>
      <c r="N13" s="111">
        <v>0</v>
      </c>
    </row>
    <row r="14" spans="1:14" s="114" customFormat="1">
      <c r="A14" s="113" t="s">
        <v>109</v>
      </c>
      <c r="B14" s="66">
        <f>_xlfn.IFNA(INDEX(AllItems!$A$2:$A$1014,MATCH(A14,AllItems!$B$2:$B$1014,0)), 0)</f>
        <v>13</v>
      </c>
      <c r="C14" s="64" t="s">
        <v>15</v>
      </c>
      <c r="D14" s="66">
        <f>_xlfn.IFNA(INDEX(Source!$A$2:$A$986,MATCH(C14,Source!$B$2:$B$986,0)),"")</f>
        <v>2</v>
      </c>
      <c r="E14" s="57" t="s">
        <v>4</v>
      </c>
      <c r="F14" s="67">
        <f>_xlfn.IFNA( INDEX(AllItems!$A$2:$A$1014,MATCH(E14,AllItems!$B$2:$B$1014,0)), 0)</f>
        <v>1</v>
      </c>
      <c r="G14" s="58">
        <v>2</v>
      </c>
      <c r="H14" s="56" t="s">
        <v>8</v>
      </c>
      <c r="I14" s="62">
        <f>_xlfn.IFNA( INDEX(AllItems!$A$2:$A$1014,MATCH(H14,AllItems!$B$2:$B$1014,0)), 0)</f>
        <v>2</v>
      </c>
      <c r="J14" s="59">
        <v>2</v>
      </c>
      <c r="K14" s="55"/>
      <c r="L14" s="68">
        <f>_xlfn.IFNA( INDEX(AllItems!$A$2:$A$1014,MATCH(K14,AllItems!$B$2:$B$1014,0)), 0)</f>
        <v>0</v>
      </c>
      <c r="M14" s="69">
        <v>0</v>
      </c>
      <c r="N14" s="65">
        <v>0</v>
      </c>
    </row>
    <row r="15" spans="1:14" s="114" customFormat="1">
      <c r="A15" s="113" t="s">
        <v>86</v>
      </c>
      <c r="B15" s="66">
        <f>_xlfn.IFNA(INDEX(AllItems!$A$2:$A$1014,MATCH(A15,AllItems!$B$2:$B$1014,0)), 0)</f>
        <v>14</v>
      </c>
      <c r="C15" s="64" t="s">
        <v>15</v>
      </c>
      <c r="D15" s="66">
        <f>_xlfn.IFNA(INDEX(Source!$A$2:$A$986,MATCH(C15,Source!$B$2:$B$986,0)),"")</f>
        <v>2</v>
      </c>
      <c r="E15" s="57" t="s">
        <v>4</v>
      </c>
      <c r="F15" s="67">
        <f>_xlfn.IFNA( INDEX(AllItems!$A$2:$A$1014,MATCH(E15,AllItems!$B$2:$B$1014,0)), 0)</f>
        <v>1</v>
      </c>
      <c r="G15" s="58">
        <v>2</v>
      </c>
      <c r="H15" s="56" t="s">
        <v>68</v>
      </c>
      <c r="I15" s="62">
        <f>_xlfn.IFNA( INDEX(AllItems!$A$2:$A$1014,MATCH(H15,AllItems!$B$2:$B$1014,0)), 0)</f>
        <v>9</v>
      </c>
      <c r="J15" s="59">
        <v>2</v>
      </c>
      <c r="K15" s="55" t="s">
        <v>108</v>
      </c>
      <c r="L15" s="68">
        <f>_xlfn.IFNA( INDEX(AllItems!$A$2:$A$1014,MATCH(K15,AllItems!$B$2:$B$1014,0)), 0)</f>
        <v>20</v>
      </c>
      <c r="M15" s="69">
        <v>3</v>
      </c>
      <c r="N15" s="65">
        <v>0</v>
      </c>
    </row>
    <row r="16" spans="1:14" s="128" customFormat="1" ht="15.75" thickBot="1">
      <c r="A16" s="115" t="s">
        <v>114</v>
      </c>
      <c r="B16" s="116">
        <f>_xlfn.IFNA(INDEX(AllItems!$A$2:$A$1014,MATCH(A16,AllItems!$B$2:$B$1014,0)), 0)</f>
        <v>15</v>
      </c>
      <c r="C16" s="117" t="s">
        <v>15</v>
      </c>
      <c r="D16" s="116">
        <f>_xlfn.IFNA(INDEX(Source!$A$2:$A$986,MATCH(C16,Source!$B$2:$B$986,0)),"")</f>
        <v>2</v>
      </c>
      <c r="E16" s="118" t="s">
        <v>4</v>
      </c>
      <c r="F16" s="119">
        <f>_xlfn.IFNA( INDEX(AllItems!$A$2:$A$1014,MATCH(E16,AllItems!$B$2:$B$1014,0)), 0)</f>
        <v>1</v>
      </c>
      <c r="G16" s="120">
        <v>2</v>
      </c>
      <c r="H16" s="121" t="s">
        <v>113</v>
      </c>
      <c r="I16" s="122">
        <f>_xlfn.IFNA( INDEX(AllItems!$A$2:$A$1014,MATCH(H16,AllItems!$B$2:$B$1014,0)), 0)</f>
        <v>21</v>
      </c>
      <c r="J16" s="123">
        <v>2</v>
      </c>
      <c r="K16" s="124"/>
      <c r="L16" s="125">
        <f>_xlfn.IFNA( INDEX(AllItems!$A$2:$A$1014,MATCH(K16,AllItems!$B$2:$B$1014,0)), 0)</f>
        <v>0</v>
      </c>
      <c r="M16" s="126">
        <v>0</v>
      </c>
      <c r="N16" s="127">
        <v>0</v>
      </c>
    </row>
    <row r="17" spans="1:14" s="112" customFormat="1">
      <c r="A17" s="148" t="s">
        <v>113</v>
      </c>
      <c r="B17" s="149">
        <f>_xlfn.IFNA(INDEX(AllItems!$A$2:$A$1014,MATCH(A17,AllItems!$B$2:$B$1014,0)), 0)</f>
        <v>21</v>
      </c>
      <c r="C17" s="101" t="s">
        <v>111</v>
      </c>
      <c r="D17" s="150">
        <f>_xlfn.IFNA(INDEX(Source!$A$2:$A$986,MATCH(C17,Source!$B$2:$B$986,0)),"")</f>
        <v>5</v>
      </c>
      <c r="E17" s="102"/>
      <c r="F17" s="151">
        <f>_xlfn.IFNA( INDEX(AllItems!$A$2:$A$1014,MATCH(E17,AllItems!$B$2:$B$1014,0)), 0)</f>
        <v>0</v>
      </c>
      <c r="G17" s="104">
        <v>0</v>
      </c>
      <c r="H17" s="105"/>
      <c r="I17" s="152">
        <f>_xlfn.IFNA( INDEX(AllItems!$A$2:$A$1014,MATCH(H17,AllItems!$B$2:$B$1014,0)), 0)</f>
        <v>0</v>
      </c>
      <c r="J17" s="107">
        <v>0</v>
      </c>
      <c r="K17" s="108"/>
      <c r="L17" s="153">
        <f>_xlfn.IFNA( INDEX(AllItems!$A$2:$A$1014,MATCH(K17,AllItems!$B$2:$B$1014,0)), 0)</f>
        <v>0</v>
      </c>
      <c r="M17" s="110">
        <v>0</v>
      </c>
      <c r="N17" s="154">
        <v>4</v>
      </c>
    </row>
    <row r="18" spans="1:14" s="128" customFormat="1" ht="15.75" thickBot="1">
      <c r="A18" s="155" t="s">
        <v>121</v>
      </c>
      <c r="B18" s="156">
        <f>_xlfn.IFNA(INDEX(AllItems!$A$2:$A$1014,MATCH(A18,AllItems!$B$2:$B$1014,0)), 0)</f>
        <v>22</v>
      </c>
      <c r="C18" s="117" t="s">
        <v>119</v>
      </c>
      <c r="D18" s="157">
        <f>_xlfn.IFNA(INDEX(Source!$A$2:$A$986,MATCH(C18,Source!$B$2:$B$986,0)),"")</f>
        <v>6</v>
      </c>
      <c r="E18" s="118"/>
      <c r="F18" s="158">
        <f>_xlfn.IFNA( INDEX(AllItems!$A$2:$A$1014,MATCH(E18,AllItems!$B$2:$B$1014,0)), 0)</f>
        <v>0</v>
      </c>
      <c r="G18" s="120">
        <v>0</v>
      </c>
      <c r="H18" s="121"/>
      <c r="I18" s="159">
        <f>_xlfn.IFNA( INDEX(AllItems!$A$2:$A$1014,MATCH(H18,AllItems!$B$2:$B$1014,0)), 0)</f>
        <v>0</v>
      </c>
      <c r="J18" s="123">
        <v>0</v>
      </c>
      <c r="K18" s="124"/>
      <c r="L18" s="160">
        <f>_xlfn.IFNA( INDEX(AllItems!$A$2:$A$1014,MATCH(K18,AllItems!$B$2:$B$1014,0)), 0)</f>
        <v>0</v>
      </c>
      <c r="M18" s="126">
        <v>0</v>
      </c>
      <c r="N18" s="161">
        <v>4</v>
      </c>
    </row>
    <row r="19" spans="1:14" s="112" customFormat="1">
      <c r="A19" s="162" t="s">
        <v>102</v>
      </c>
      <c r="B19" s="100">
        <f>_xlfn.IFNA(INDEX(AllItems!$A$2:$A$1014,MATCH(A19,AllItems!$B$2:$B$1014,0)), 0)</f>
        <v>16</v>
      </c>
      <c r="C19" s="101" t="s">
        <v>87</v>
      </c>
      <c r="D19" s="100">
        <f>_xlfn.IFNA(INDEX(Source!$A$2:$A$986,MATCH(C19,Source!$B$2:$B$986,0)),"")</f>
        <v>3</v>
      </c>
      <c r="E19" s="102" t="s">
        <v>4</v>
      </c>
      <c r="F19" s="103">
        <f>_xlfn.IFNA( INDEX(AllItems!$A$2:$A$1014,MATCH(E19,AllItems!$B$2:$B$1014,0)), 0)</f>
        <v>1</v>
      </c>
      <c r="G19" s="104">
        <v>4</v>
      </c>
      <c r="H19" s="105" t="s">
        <v>8</v>
      </c>
      <c r="I19" s="106">
        <f>_xlfn.IFNA( INDEX(AllItems!$A$2:$A$1014,MATCH(H19,AllItems!$B$2:$B$1014,0)), 0)</f>
        <v>2</v>
      </c>
      <c r="J19" s="107">
        <v>3</v>
      </c>
      <c r="K19" s="108" t="s">
        <v>154</v>
      </c>
      <c r="L19" s="109">
        <f>_xlfn.IFNA( INDEX(AllItems!$A$2:$A$1014,MATCH(K19,AllItems!$B$2:$B$1014,0)), 0)</f>
        <v>27</v>
      </c>
      <c r="M19" s="110">
        <v>20</v>
      </c>
      <c r="N19" s="111">
        <v>0</v>
      </c>
    </row>
    <row r="20" spans="1:14" s="128" customFormat="1" ht="15.75" thickBot="1">
      <c r="A20" s="163" t="s">
        <v>103</v>
      </c>
      <c r="B20" s="116">
        <f>_xlfn.IFNA(INDEX(AllItems!$A$2:$A$1014,MATCH(A20,AllItems!$B$2:$B$1014,0)), 0)</f>
        <v>17</v>
      </c>
      <c r="C20" s="117" t="s">
        <v>104</v>
      </c>
      <c r="D20" s="116">
        <f>_xlfn.IFNA(INDEX(Source!$A$2:$A$986,MATCH(C20,Source!$B$2:$B$986,0)),"")</f>
        <v>4</v>
      </c>
      <c r="E20" s="118" t="s">
        <v>156</v>
      </c>
      <c r="F20" s="119">
        <f>_xlfn.IFNA( INDEX(AllItems!$A$2:$A$1014,MATCH(E20,AllItems!$B$2:$B$1014,0)), 0)</f>
        <v>29</v>
      </c>
      <c r="G20" s="120">
        <v>4</v>
      </c>
      <c r="H20" s="121" t="s">
        <v>37</v>
      </c>
      <c r="I20" s="122">
        <f>_xlfn.IFNA( INDEX(AllItems!$A$2:$A$1014,MATCH(H20,AllItems!$B$2:$B$1014,0)), 0)</f>
        <v>3</v>
      </c>
      <c r="J20" s="123">
        <v>4</v>
      </c>
      <c r="K20" s="124" t="s">
        <v>155</v>
      </c>
      <c r="L20" s="125">
        <f>_xlfn.IFNA( INDEX(AllItems!$A$2:$A$1014,MATCH(K20,AllItems!$B$2:$B$1014,0)), 0)</f>
        <v>28</v>
      </c>
      <c r="M20" s="126">
        <v>40</v>
      </c>
      <c r="N20" s="127">
        <v>0</v>
      </c>
    </row>
    <row r="21" spans="1:14" s="165" customFormat="1" ht="15.75" customHeight="1" thickBot="1">
      <c r="A21" s="99" t="s">
        <v>123</v>
      </c>
      <c r="B21" s="103">
        <f>_xlfn.IFNA(INDEX(AllItems!$A$2:$A$1014,MATCH(A21,AllItems!$B$2:$B$1014,0)), 0)</f>
        <v>24</v>
      </c>
      <c r="C21" s="102" t="s">
        <v>125</v>
      </c>
      <c r="D21" s="103">
        <f>_xlfn.IFNA(INDEX(Source!$A$2:$A$986,MATCH(C21,Source!$B$2:$B$986,0)),"")</f>
        <v>7</v>
      </c>
      <c r="E21" s="102" t="s">
        <v>113</v>
      </c>
      <c r="F21" s="103">
        <f>_xlfn.IFNA( INDEX(AllItems!$A$2:$A$1014,MATCH(E21,AllItems!$B$2:$B$1014,0)), 0)</f>
        <v>21</v>
      </c>
      <c r="G21" s="104">
        <v>3</v>
      </c>
      <c r="H21" s="102"/>
      <c r="I21" s="103">
        <f>_xlfn.IFNA( INDEX(AllItems!$A$2:$A$1014,MATCH(H21,AllItems!$B$2:$B$1014,0)), 0)</f>
        <v>0</v>
      </c>
      <c r="J21" s="104">
        <v>0</v>
      </c>
      <c r="K21" s="102"/>
      <c r="L21" s="103">
        <f>_xlfn.IFNA( INDEX(AllItems!$A$2:$A$1014,MATCH(K21,AllItems!$B$2:$B$1014,0)), 0)</f>
        <v>0</v>
      </c>
      <c r="M21" s="164">
        <v>0</v>
      </c>
      <c r="N21" s="104">
        <v>0</v>
      </c>
    </row>
    <row r="22" spans="1:14" s="198" customFormat="1" ht="15.75" customHeight="1">
      <c r="A22" s="113" t="s">
        <v>172</v>
      </c>
      <c r="B22" s="180">
        <f>_xlfn.IFNA(INDEX(AllItems!$A$2:$A$1014,MATCH(A22,AllItems!$B$2:$B$1014,0)), 0)</f>
        <v>25</v>
      </c>
      <c r="C22" s="57" t="s">
        <v>125</v>
      </c>
      <c r="D22" s="199">
        <f>_xlfn.IFNA(INDEX(Source!$A$2:$A$986,MATCH(C22,Source!$B$2:$B$986,0)),"")</f>
        <v>7</v>
      </c>
      <c r="E22" s="102" t="s">
        <v>9</v>
      </c>
      <c r="F22" s="103">
        <f>_xlfn.IFNA( INDEX(AllItems!$A$2:$A$1014,MATCH(E22,AllItems!$B$2:$B$1014,0)), 0)</f>
        <v>4</v>
      </c>
      <c r="G22" s="104">
        <v>3</v>
      </c>
      <c r="H22" s="102" t="s">
        <v>103</v>
      </c>
      <c r="I22" s="103">
        <f>_xlfn.IFNA( INDEX(AllItems!$A$2:$A$1014,MATCH(H22,AllItems!$B$2:$B$1014,0)), 0)</f>
        <v>17</v>
      </c>
      <c r="J22" s="104">
        <v>2</v>
      </c>
      <c r="K22" s="102"/>
      <c r="L22" s="103">
        <f>_xlfn.IFNA( INDEX(AllItems!$A$2:$A$1014,MATCH(K22,AllItems!$B$2:$B$1014,0)), 0)</f>
        <v>0</v>
      </c>
      <c r="M22" s="164">
        <v>0</v>
      </c>
      <c r="N22" s="104">
        <v>0</v>
      </c>
    </row>
    <row r="23" spans="1:14" s="198" customFormat="1" ht="15.75" thickBot="1">
      <c r="A23" s="270" t="s">
        <v>124</v>
      </c>
      <c r="B23" s="271">
        <f>_xlfn.IFNA(INDEX(AllItems!$A$2:$A$1014,MATCH(A23,AllItems!$B$2:$B$1014,0)), 0)</f>
        <v>26</v>
      </c>
      <c r="C23" s="181" t="s">
        <v>125</v>
      </c>
      <c r="D23" s="271">
        <f>_xlfn.IFNA(INDEX(Source!$A$2:$A$986,MATCH(C23,Source!$B$2:$B$986,0)),"")</f>
        <v>7</v>
      </c>
      <c r="E23" s="181" t="s">
        <v>121</v>
      </c>
      <c r="F23" s="271">
        <f>_xlfn.IFNA( INDEX(AllItems!$A$2:$A$1014,MATCH(E23,AllItems!$B$2:$B$1014,0)), 0)</f>
        <v>22</v>
      </c>
      <c r="G23" s="182">
        <v>3</v>
      </c>
      <c r="H23" s="181"/>
      <c r="I23" s="271">
        <f>_xlfn.IFNA( INDEX(AllItems!$A$2:$A$1014,MATCH(H23,AllItems!$B$2:$B$1014,0)), 0)</f>
        <v>0</v>
      </c>
      <c r="J23" s="182">
        <v>0</v>
      </c>
      <c r="K23" s="181"/>
      <c r="L23" s="271">
        <f>_xlfn.IFNA( INDEX(AllItems!$A$2:$A$1014,MATCH(K23,AllItems!$B$2:$B$1014,0)), 0)</f>
        <v>0</v>
      </c>
      <c r="M23" s="272">
        <v>0</v>
      </c>
      <c r="N23" s="182">
        <v>0</v>
      </c>
    </row>
    <row r="24" spans="1:14" s="253" customFormat="1">
      <c r="A24" s="239" t="s">
        <v>149</v>
      </c>
      <c r="B24" s="240">
        <f>_xlfn.IFNA(INDEX(AllItems!$A$2:$A$1014,MATCH(A24,AllItems!$B$2:$B$1014,0)), 0)</f>
        <v>18</v>
      </c>
      <c r="C24" s="241" t="s">
        <v>18</v>
      </c>
      <c r="D24" s="242">
        <f>_xlfn.IFNA(INDEX(Source!$A$2:$A$986,MATCH(C24,Source!$B$2:$B$986,0)),"")</f>
        <v>8</v>
      </c>
      <c r="E24" s="243" t="s">
        <v>103</v>
      </c>
      <c r="F24" s="244">
        <f>_xlfn.IFNA( INDEX(AllItems!$A$2:$A$1014,MATCH(E24,AllItems!$B$2:$B$1014,0)), 0)</f>
        <v>17</v>
      </c>
      <c r="G24" s="245">
        <v>2</v>
      </c>
      <c r="H24" s="246"/>
      <c r="I24" s="247">
        <f>_xlfn.IFNA( INDEX(AllItems!$A$2:$A$1014,MATCH(H24,AllItems!$B$2:$B$1014,0)), 0)</f>
        <v>0</v>
      </c>
      <c r="J24" s="248">
        <v>0</v>
      </c>
      <c r="K24" s="249"/>
      <c r="L24" s="250">
        <f>_xlfn.IFNA( INDEX(AllItems!$A$2:$A$1014,MATCH(K24,AllItems!$B$2:$B$1014,0)), 0)</f>
        <v>0</v>
      </c>
      <c r="M24" s="251">
        <v>0</v>
      </c>
      <c r="N24" s="252">
        <v>0</v>
      </c>
    </row>
    <row r="25" spans="1:14" s="238" customFormat="1">
      <c r="A25" s="254" t="s">
        <v>107</v>
      </c>
      <c r="B25" s="226">
        <f>_xlfn.IFNA(INDEX(AllItems!$A$2:$A$1014,MATCH(A25,AllItems!$B$2:$B$1014,0)), 0)</f>
        <v>19</v>
      </c>
      <c r="C25" s="225" t="s">
        <v>18</v>
      </c>
      <c r="D25" s="227">
        <f>_xlfn.IFNA(INDEX(Source!$A$2:$A$986,MATCH(C25,Source!$B$2:$B$986,0)),"")</f>
        <v>8</v>
      </c>
      <c r="E25" s="228" t="s">
        <v>103</v>
      </c>
      <c r="F25" s="229">
        <f>_xlfn.IFNA( INDEX(AllItems!$A$2:$A$1014,MATCH(E25,AllItems!$B$2:$B$1014,0)), 0)</f>
        <v>17</v>
      </c>
      <c r="G25" s="230">
        <v>3</v>
      </c>
      <c r="H25" s="231"/>
      <c r="I25" s="232">
        <f>_xlfn.IFNA( INDEX(AllItems!$A$2:$A$1014,MATCH(H25,AllItems!$B$2:$B$1014,0)), 0)</f>
        <v>0</v>
      </c>
      <c r="J25" s="233">
        <v>0</v>
      </c>
      <c r="K25" s="234"/>
      <c r="L25" s="235">
        <f>_xlfn.IFNA( INDEX(AllItems!$A$2:$A$1014,MATCH(K25,AllItems!$B$2:$B$1014,0)), 0)</f>
        <v>0</v>
      </c>
      <c r="M25" s="236">
        <v>0</v>
      </c>
      <c r="N25" s="237">
        <v>0</v>
      </c>
    </row>
    <row r="26" spans="1:14" s="238" customFormat="1">
      <c r="A26" s="254" t="s">
        <v>108</v>
      </c>
      <c r="B26" s="226">
        <f>_xlfn.IFNA(INDEX(AllItems!$A$2:$A$1014,MATCH(A26,AllItems!$B$2:$B$1014,0)), 0)</f>
        <v>20</v>
      </c>
      <c r="C26" s="225" t="s">
        <v>18</v>
      </c>
      <c r="D26" s="227">
        <f>_xlfn.IFNA(INDEX(Source!$A$2:$A$986,MATCH(C26,Source!$B$2:$B$986,0)),"")</f>
        <v>8</v>
      </c>
      <c r="E26" s="228" t="s">
        <v>103</v>
      </c>
      <c r="F26" s="229">
        <f>_xlfn.IFNA( INDEX(AllItems!$A$2:$A$1014,MATCH(E26,AllItems!$B$2:$B$1014,0)), 0)</f>
        <v>17</v>
      </c>
      <c r="G26" s="230">
        <v>4</v>
      </c>
      <c r="H26" s="231"/>
      <c r="I26" s="232">
        <f>_xlfn.IFNA( INDEX(AllItems!$A$2:$A$1014,MATCH(H26,AllItems!$B$2:$B$1014,0)), 0)</f>
        <v>0</v>
      </c>
      <c r="J26" s="233">
        <v>0</v>
      </c>
      <c r="K26" s="234"/>
      <c r="L26" s="235">
        <f>_xlfn.IFNA( INDEX(AllItems!$A$2:$A$1014,MATCH(K26,AllItems!$B$2:$B$1014,0)), 0)</f>
        <v>0</v>
      </c>
      <c r="M26" s="236">
        <v>0</v>
      </c>
      <c r="N26" s="237">
        <v>0</v>
      </c>
    </row>
    <row r="27" spans="1:14" s="238" customFormat="1">
      <c r="A27" s="254" t="s">
        <v>168</v>
      </c>
      <c r="B27" s="226">
        <f>_xlfn.IFNA(INDEX(AllItems!$A$2:$A$1014,MATCH(A27,AllItems!$B$2:$B$1014,0)), 0)</f>
        <v>30</v>
      </c>
      <c r="C27" s="225" t="s">
        <v>144</v>
      </c>
      <c r="D27" s="227">
        <f>_xlfn.IFNA(INDEX(Source!$A$2:$A$986,MATCH(C27,Source!$B$2:$B$986,0)),"")</f>
        <v>9</v>
      </c>
      <c r="E27" s="228" t="s">
        <v>66</v>
      </c>
      <c r="F27" s="229">
        <f>_xlfn.IFNA( INDEX(AllItems!$A$2:$A$1014,MATCH(E27,AllItems!$B$2:$B$1014,0)), 0)</f>
        <v>8</v>
      </c>
      <c r="G27" s="230">
        <v>2</v>
      </c>
      <c r="H27" s="231"/>
      <c r="I27" s="232">
        <f>_xlfn.IFNA( INDEX(AllItems!$A$2:$A$1014,MATCH(H27,AllItems!$B$2:$B$1014,0)), 0)</f>
        <v>0</v>
      </c>
      <c r="J27" s="233">
        <v>0</v>
      </c>
      <c r="K27" s="234"/>
      <c r="L27" s="235">
        <f>_xlfn.IFNA( INDEX(AllItems!$A$2:$A$1014,MATCH(K27,AllItems!$B$2:$B$1014,0)), 0)</f>
        <v>0</v>
      </c>
      <c r="M27" s="236">
        <v>0</v>
      </c>
      <c r="N27" s="237">
        <v>0</v>
      </c>
    </row>
    <row r="28" spans="1:14" s="238" customFormat="1">
      <c r="A28" s="254" t="s">
        <v>169</v>
      </c>
      <c r="B28" s="226">
        <f>_xlfn.IFNA(INDEX(AllItems!$A$2:$A$1014,MATCH(A28,AllItems!$B$2:$B$1014,0)), 0)</f>
        <v>31</v>
      </c>
      <c r="C28" s="225" t="s">
        <v>144</v>
      </c>
      <c r="D28" s="227">
        <f>_xlfn.IFNA(INDEX(Source!$A$2:$A$986,MATCH(C28,Source!$B$2:$B$986,0)),"")</f>
        <v>9</v>
      </c>
      <c r="E28" s="228" t="s">
        <v>66</v>
      </c>
      <c r="F28" s="229">
        <f>_xlfn.IFNA( INDEX(AllItems!$A$2:$A$1014,MATCH(E28,AllItems!$B$2:$B$1014,0)), 0)</f>
        <v>8</v>
      </c>
      <c r="G28" s="230">
        <v>3</v>
      </c>
      <c r="H28" s="231" t="s">
        <v>8</v>
      </c>
      <c r="I28" s="232">
        <f>_xlfn.IFNA( INDEX(AllItems!$A$2:$A$1014,MATCH(H28,AllItems!$B$2:$B$1014,0)), 0)</f>
        <v>2</v>
      </c>
      <c r="J28" s="233">
        <v>3</v>
      </c>
      <c r="K28" s="234"/>
      <c r="L28" s="235">
        <f>_xlfn.IFNA( INDEX(AllItems!$A$2:$A$1014,MATCH(K28,AllItems!$B$2:$B$1014,0)), 0)</f>
        <v>0</v>
      </c>
      <c r="M28" s="236">
        <v>0</v>
      </c>
      <c r="N28" s="237">
        <v>0</v>
      </c>
    </row>
    <row r="29" spans="1:14" s="269" customFormat="1" ht="15.75" thickBot="1">
      <c r="A29" s="255" t="s">
        <v>170</v>
      </c>
      <c r="B29" s="256">
        <f>_xlfn.IFNA(INDEX(AllItems!$A$2:$A$1014,MATCH(A29,AllItems!$B$2:$B$1014,0)), 0)</f>
        <v>32</v>
      </c>
      <c r="C29" s="257" t="s">
        <v>144</v>
      </c>
      <c r="D29" s="258">
        <f>_xlfn.IFNA(INDEX(Source!$A$2:$A$986,MATCH(C29,Source!$B$2:$B$986,0)),"")</f>
        <v>9</v>
      </c>
      <c r="E29" s="259" t="s">
        <v>66</v>
      </c>
      <c r="F29" s="260">
        <f>_xlfn.IFNA( INDEX(AllItems!$A$2:$A$1014,MATCH(E29,AllItems!$B$2:$B$1014,0)), 0)</f>
        <v>8</v>
      </c>
      <c r="G29" s="261">
        <v>4</v>
      </c>
      <c r="H29" s="262"/>
      <c r="I29" s="263">
        <f>_xlfn.IFNA( INDEX(AllItems!$A$2:$A$1014,MATCH(H29,AllItems!$B$2:$B$1014,0)), 0)</f>
        <v>0</v>
      </c>
      <c r="J29" s="264">
        <v>0</v>
      </c>
      <c r="K29" s="265"/>
      <c r="L29" s="266">
        <f>_xlfn.IFNA( INDEX(AllItems!$A$2:$A$1014,MATCH(K29,AllItems!$B$2:$B$1014,0)), 0)</f>
        <v>0</v>
      </c>
      <c r="M29" s="267">
        <v>0</v>
      </c>
      <c r="N29" s="268">
        <v>0</v>
      </c>
    </row>
    <row r="30" spans="1:14" s="287" customFormat="1">
      <c r="A30" s="273" t="s">
        <v>197</v>
      </c>
      <c r="B30" s="274">
        <f>_xlfn.IFNA(INDEX(AllItems!$A$2:$A$1014,MATCH(A30,AllItems!$B$2:$B$1014,0)), 0)</f>
        <v>41</v>
      </c>
      <c r="C30" s="275" t="s">
        <v>145</v>
      </c>
      <c r="D30" s="276">
        <f>_xlfn.IFNA(INDEX(Source!$A$2:$A$986,MATCH(C30,Source!$B$2:$B$986,0)),"")</f>
        <v>10</v>
      </c>
      <c r="E30" s="277" t="s">
        <v>196</v>
      </c>
      <c r="F30" s="278">
        <f>_xlfn.IFNA( INDEX(AllItems!$A$2:$A$1014,MATCH(E30,AllItems!$B$2:$B$1014,0)), 0)</f>
        <v>40</v>
      </c>
      <c r="G30" s="279">
        <v>4</v>
      </c>
      <c r="H30" s="280" t="s">
        <v>195</v>
      </c>
      <c r="I30" s="281">
        <f>_xlfn.IFNA( INDEX(AllItems!$A$2:$A$1014,MATCH(H30,AllItems!$B$2:$B$1014,0)), 0)</f>
        <v>39</v>
      </c>
      <c r="J30" s="282">
        <v>3</v>
      </c>
      <c r="K30" s="283"/>
      <c r="L30" s="284">
        <f>_xlfn.IFNA( INDEX(AllItems!$A$2:$A$1014,MATCH(K30,AllItems!$B$2:$B$1014,0)), 0)</f>
        <v>0</v>
      </c>
      <c r="M30" s="285">
        <v>0</v>
      </c>
      <c r="N30" s="286">
        <v>0</v>
      </c>
    </row>
    <row r="31" spans="1:14" s="238" customFormat="1">
      <c r="A31" s="273" t="s">
        <v>199</v>
      </c>
      <c r="B31" s="226">
        <f>_xlfn.IFNA(INDEX(AllItems!$A$2:$A$1014,MATCH(A31,AllItems!$B$2:$B$1014,0)), 0)</f>
        <v>43</v>
      </c>
      <c r="C31" s="225" t="s">
        <v>145</v>
      </c>
      <c r="D31" s="227">
        <f>_xlfn.IFNA(INDEX(Source!$A$2:$A$986,MATCH(C31,Source!$B$2:$B$986,0)),"")</f>
        <v>10</v>
      </c>
      <c r="E31" s="228" t="s">
        <v>198</v>
      </c>
      <c r="F31" s="229">
        <f>_xlfn.IFNA( INDEX(AllItems!$A$2:$A$1014,MATCH(E31,AllItems!$B$2:$B$1014,0)), 0)</f>
        <v>42</v>
      </c>
      <c r="G31" s="230">
        <v>6</v>
      </c>
      <c r="H31" s="231" t="s">
        <v>195</v>
      </c>
      <c r="I31" s="232">
        <f>_xlfn.IFNA( INDEX(AllItems!$A$2:$A$1014,MATCH(H31,AllItems!$B$2:$B$1014,0)), 0)</f>
        <v>39</v>
      </c>
      <c r="J31" s="233">
        <v>6</v>
      </c>
      <c r="K31" s="234"/>
      <c r="L31" s="235">
        <f>_xlfn.IFNA( INDEX(AllItems!$A$2:$A$1014,MATCH(K31,AllItems!$B$2:$B$1014,0)), 0)</f>
        <v>0</v>
      </c>
      <c r="M31" s="236">
        <v>0</v>
      </c>
      <c r="N31" s="237">
        <v>0</v>
      </c>
    </row>
    <row r="32" spans="1:14" s="238" customFormat="1">
      <c r="A32" s="273" t="s">
        <v>203</v>
      </c>
      <c r="B32" s="226">
        <f>_xlfn.IFNA(INDEX(AllItems!$A$2:$A$1014,MATCH(A32,AllItems!$B$2:$B$1014,0)), 0)</f>
        <v>45</v>
      </c>
      <c r="C32" s="225" t="s">
        <v>145</v>
      </c>
      <c r="D32" s="227">
        <f>_xlfn.IFNA(INDEX(Source!$A$2:$A$986,MATCH(C32,Source!$B$2:$B$986,0)),"")</f>
        <v>10</v>
      </c>
      <c r="E32" s="228" t="s">
        <v>200</v>
      </c>
      <c r="F32" s="229">
        <f>_xlfn.IFNA( INDEX(AllItems!$A$2:$A$1014,MATCH(E32,AllItems!$B$2:$B$1014,0)), 0)</f>
        <v>44</v>
      </c>
      <c r="G32" s="230">
        <v>8</v>
      </c>
      <c r="H32" s="231" t="s">
        <v>195</v>
      </c>
      <c r="I32" s="232">
        <f>_xlfn.IFNA( INDEX(AllItems!$A$2:$A$1014,MATCH(H32,AllItems!$B$2:$B$1014,0)), 0)</f>
        <v>39</v>
      </c>
      <c r="J32" s="233">
        <v>5</v>
      </c>
      <c r="K32" s="234"/>
      <c r="L32" s="235">
        <f>_xlfn.IFNA( INDEX(AllItems!$A$2:$A$1014,MATCH(K32,AllItems!$B$2:$B$1014,0)), 0)</f>
        <v>0</v>
      </c>
      <c r="M32" s="236">
        <v>0</v>
      </c>
      <c r="N32" s="237">
        <v>0</v>
      </c>
    </row>
    <row r="33" spans="1:14" s="269" customFormat="1" ht="15.75" thickBot="1">
      <c r="A33" s="273" t="s">
        <v>202</v>
      </c>
      <c r="B33" s="256">
        <f>_xlfn.IFNA(INDEX(AllItems!$A$2:$A$1014,MATCH(A33,AllItems!$B$2:$B$1014,0)), 0)</f>
        <v>47</v>
      </c>
      <c r="C33" s="257" t="s">
        <v>145</v>
      </c>
      <c r="D33" s="258">
        <f>_xlfn.IFNA(INDEX(Source!$A$2:$A$986,MATCH(C33,Source!$B$2:$B$986,0)),"")</f>
        <v>10</v>
      </c>
      <c r="E33" s="259" t="s">
        <v>201</v>
      </c>
      <c r="F33" s="260">
        <f>_xlfn.IFNA( INDEX(AllItems!$A$2:$A$1014,MATCH(E33,AllItems!$B$2:$B$1014,0)), 0)</f>
        <v>46</v>
      </c>
      <c r="G33" s="261">
        <v>12</v>
      </c>
      <c r="H33" s="262" t="s">
        <v>195</v>
      </c>
      <c r="I33" s="263">
        <f>_xlfn.IFNA( INDEX(AllItems!$A$2:$A$1014,MATCH(H33,AllItems!$B$2:$B$1014,0)), 0)</f>
        <v>39</v>
      </c>
      <c r="J33" s="264">
        <v>4</v>
      </c>
      <c r="K33" s="265"/>
      <c r="L33" s="266">
        <f>_xlfn.IFNA( INDEX(AllItems!$A$2:$A$1014,MATCH(K33,AllItems!$B$2:$B$1014,0)), 0)</f>
        <v>0</v>
      </c>
      <c r="M33" s="267">
        <v>0</v>
      </c>
      <c r="N33" s="268">
        <v>0</v>
      </c>
    </row>
    <row r="34" spans="1:14">
      <c r="A34" s="213"/>
      <c r="B34" s="214"/>
      <c r="C34" s="213"/>
      <c r="D34" s="214"/>
      <c r="E34" s="215"/>
      <c r="F34" s="216"/>
      <c r="G34" s="217"/>
      <c r="H34" s="218"/>
      <c r="I34" s="219"/>
      <c r="J34" s="220"/>
      <c r="K34" s="221"/>
      <c r="L34" s="222"/>
      <c r="M34" s="223"/>
      <c r="N34" s="224"/>
    </row>
  </sheetData>
  <phoneticPr fontId="29" type="noConversion"/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D1E266A-BE37-4CE4-88F7-21EBEECDD10F}">
          <x14:formula1>
            <xm:f>Source!$B$2:$B$986</xm:f>
          </x14:formula1>
          <xm:sqref>C2:C33</xm:sqref>
        </x14:dataValidation>
        <x14:dataValidation type="list" allowBlank="1" showInputMessage="1" showErrorMessage="1" xr:uid="{E81F575F-9449-4919-8B9D-AAE025C6F727}">
          <x14:formula1>
            <xm:f>AllItems!$B$2:$B$215</xm:f>
          </x14:formula1>
          <xm:sqref>A2:A33</xm:sqref>
        </x14:dataValidation>
        <x14:dataValidation type="list" allowBlank="1" showInputMessage="1" showErrorMessage="1" xr:uid="{E55DB387-2714-4E40-982B-F80DB2B40A1C}">
          <x14:formula1>
            <xm:f>AllItems!$B$2:$B$2012</xm:f>
          </x14:formula1>
          <xm:sqref>H2:H33 E2:E33 K2:K33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FD16-DFD1-4F8A-9039-3168A7435A88}">
  <sheetPr codeName="Sheet15"/>
  <dimension ref="A1:H12"/>
  <sheetViews>
    <sheetView zoomScale="130" zoomScaleNormal="130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12.140625" bestFit="1" customWidth="1"/>
    <col min="2" max="2" width="8.5703125" bestFit="1" customWidth="1"/>
    <col min="3" max="3" width="12.28515625" bestFit="1" customWidth="1"/>
    <col min="4" max="4" width="8.7109375" style="17" bestFit="1" customWidth="1"/>
    <col min="5" max="5" width="8.5703125" style="17" bestFit="1" customWidth="1"/>
    <col min="6" max="6" width="12.28515625" style="54" bestFit="1" customWidth="1"/>
    <col min="7" max="7" width="8.7109375" style="63" bestFit="1" customWidth="1"/>
    <col min="8" max="8" width="8.5703125" style="61" bestFit="1" customWidth="1"/>
    <col min="9" max="16384" width="9" style="17"/>
  </cols>
  <sheetData>
    <row r="1" spans="1:5" s="46" customFormat="1" ht="15.75" thickBot="1">
      <c r="A1" s="306" t="s">
        <v>115</v>
      </c>
      <c r="B1" s="307" t="s">
        <v>116</v>
      </c>
      <c r="C1" s="129" t="s">
        <v>105</v>
      </c>
      <c r="D1" s="130" t="s">
        <v>106</v>
      </c>
      <c r="E1" s="140" t="s">
        <v>166</v>
      </c>
    </row>
    <row r="2" spans="1:5" s="143" customFormat="1" ht="15.75" thickBot="1">
      <c r="A2" s="101" t="s">
        <v>111</v>
      </c>
      <c r="B2" s="100">
        <f>_xlfn.IFNA(INDEX(Source!$A$2:$A$986,MATCH(A2,Source!$B$2:$B$986,0)),"")</f>
        <v>5</v>
      </c>
      <c r="C2" s="141" t="s">
        <v>113</v>
      </c>
      <c r="D2" s="100">
        <f>_xlfn.IFNA(INDEX(AllItems!$A$2:$A$1014,MATCH(C2,AllItems!$B$2:$B$1014,0)), 0)</f>
        <v>21</v>
      </c>
      <c r="E2" s="111">
        <v>0</v>
      </c>
    </row>
    <row r="3" spans="1:5" s="145" customFormat="1">
      <c r="A3" s="101" t="s">
        <v>119</v>
      </c>
      <c r="B3" s="100">
        <f>_xlfn.IFNA(INDEX(Source!$A$2:$A$986,MATCH(A3,Source!$B$2:$B$986,0)),"")</f>
        <v>6</v>
      </c>
      <c r="C3" s="144" t="s">
        <v>121</v>
      </c>
      <c r="D3" s="66">
        <f>_xlfn.IFNA(INDEX(AllItems!$A$2:$A$1014,MATCH(C3,AllItems!$B$2:$B$1014,0)), 0)</f>
        <v>22</v>
      </c>
      <c r="E3" s="65">
        <v>1</v>
      </c>
    </row>
    <row r="4" spans="1:5">
      <c r="A4" s="17"/>
      <c r="B4" s="17"/>
      <c r="C4" s="17"/>
    </row>
    <row r="5" spans="1:5">
      <c r="A5" s="17"/>
      <c r="B5" s="17"/>
      <c r="C5" s="17"/>
    </row>
    <row r="6" spans="1:5">
      <c r="A6" s="17"/>
      <c r="B6" s="17"/>
      <c r="C6" s="17"/>
    </row>
    <row r="7" spans="1:5">
      <c r="A7" s="17"/>
      <c r="B7" s="17"/>
      <c r="C7" s="17"/>
    </row>
    <row r="8" spans="1:5">
      <c r="A8" s="17"/>
      <c r="B8" s="17"/>
      <c r="C8" s="17"/>
    </row>
    <row r="9" spans="1:5">
      <c r="A9" s="17"/>
      <c r="B9" s="17"/>
      <c r="C9" s="17"/>
    </row>
    <row r="10" spans="1:5">
      <c r="A10" s="17"/>
      <c r="B10" s="17"/>
      <c r="C10" s="17"/>
    </row>
    <row r="11" spans="1:5">
      <c r="A11" s="17"/>
      <c r="B11" s="17"/>
      <c r="C11" s="17"/>
    </row>
    <row r="12" spans="1:5">
      <c r="A12" s="17"/>
      <c r="B12" s="17"/>
      <c r="C12" s="17"/>
    </row>
  </sheetData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37C8AE-8B7D-4E83-8096-49E36C33F237}">
          <x14:formula1>
            <xm:f>AllItems!$B$2:$B$215</xm:f>
          </x14:formula1>
          <xm:sqref>C2:C3</xm:sqref>
        </x14:dataValidation>
        <x14:dataValidation type="list" allowBlank="1" showInputMessage="1" showErrorMessage="1" xr:uid="{B6A02F97-F240-4D03-A772-4A12F9FA35D0}">
          <x14:formula1>
            <xm:f>Source!$B$2:$B$986</xm:f>
          </x14:formula1>
          <xm:sqref>A2:A3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AD399-E103-43B1-A71E-97E7534744FA}">
  <sheetPr codeName="Sheet9"/>
  <dimension ref="A1:C12"/>
  <sheetViews>
    <sheetView zoomScale="130" zoomScaleNormal="130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12.28515625" style="54" bestFit="1" customWidth="1"/>
    <col min="2" max="2" width="8.7109375" style="63" bestFit="1" customWidth="1"/>
    <col min="3" max="3" width="8.5703125" style="61" bestFit="1" customWidth="1"/>
    <col min="4" max="16384" width="9" style="17"/>
  </cols>
  <sheetData>
    <row r="1" spans="1:3" s="46" customFormat="1" ht="15.75" thickBot="1">
      <c r="A1" s="129" t="s">
        <v>105</v>
      </c>
      <c r="B1" s="130" t="s">
        <v>106</v>
      </c>
      <c r="C1" s="140" t="s">
        <v>166</v>
      </c>
    </row>
    <row r="2" spans="1:3" s="143" customFormat="1">
      <c r="A2" s="141" t="s">
        <v>4</v>
      </c>
      <c r="B2" s="100">
        <f>_xlfn.IFNA(INDEX(AllItems!$A$2:$A$1014,MATCH(A2,AllItems!$B$2:$B$1014,0)), 0)</f>
        <v>1</v>
      </c>
      <c r="C2" s="111">
        <v>0</v>
      </c>
    </row>
    <row r="3" spans="1:3" s="145" customFormat="1">
      <c r="A3" s="144" t="s">
        <v>8</v>
      </c>
      <c r="B3" s="66">
        <f>_xlfn.IFNA(INDEX(AllItems!$A$2:$A$1014,MATCH(A3,AllItems!$B$2:$B$1014,0)), 0)</f>
        <v>2</v>
      </c>
      <c r="C3" s="65">
        <v>1</v>
      </c>
    </row>
    <row r="4" spans="1:3" s="145" customFormat="1">
      <c r="A4" s="144" t="s">
        <v>37</v>
      </c>
      <c r="B4" s="66">
        <f>_xlfn.IFNA(INDEX(AllItems!$A$2:$A$1014,MATCH(A4,AllItems!$B$2:$B$1014,0)), 0)</f>
        <v>3</v>
      </c>
      <c r="C4" s="65">
        <v>2</v>
      </c>
    </row>
    <row r="5" spans="1:3" s="145" customFormat="1">
      <c r="A5" s="144" t="s">
        <v>9</v>
      </c>
      <c r="B5" s="66">
        <f>_xlfn.IFNA(INDEX(AllItems!$A$2:$A$1014,MATCH(A5,AllItems!$B$2:$B$1014,0)), 0)</f>
        <v>4</v>
      </c>
      <c r="C5" s="65">
        <v>3</v>
      </c>
    </row>
    <row r="6" spans="1:3" s="145" customFormat="1">
      <c r="A6" s="144" t="s">
        <v>70</v>
      </c>
      <c r="B6" s="66">
        <f>_xlfn.IFNA(INDEX(AllItems!$A$2:$A$1014,MATCH(A6,AllItems!$B$2:$B$1014,0)), 0)</f>
        <v>5</v>
      </c>
      <c r="C6" s="65">
        <v>4</v>
      </c>
    </row>
    <row r="7" spans="1:3" s="145" customFormat="1">
      <c r="A7" s="144" t="s">
        <v>11</v>
      </c>
      <c r="B7" s="66">
        <f>_xlfn.IFNA(INDEX(AllItems!$A$2:$A$1014,MATCH(A7,AllItems!$B$2:$B$1014,0)), 0)</f>
        <v>6</v>
      </c>
      <c r="C7" s="65">
        <v>5</v>
      </c>
    </row>
    <row r="8" spans="1:3" s="145" customFormat="1">
      <c r="A8" s="144" t="s">
        <v>10</v>
      </c>
      <c r="B8" s="66">
        <f>_xlfn.IFNA(INDEX(AllItems!$A$2:$A$1014,MATCH(A8,AllItems!$B$2:$B$1014,0)), 0)</f>
        <v>7</v>
      </c>
      <c r="C8" s="65">
        <v>6</v>
      </c>
    </row>
    <row r="9" spans="1:3" s="145" customFormat="1">
      <c r="A9" s="144" t="s">
        <v>66</v>
      </c>
      <c r="B9" s="66">
        <f>_xlfn.IFNA(INDEX(AllItems!$A$2:$A$1014,MATCH(A9,AllItems!$B$2:$B$1014,0)), 0)</f>
        <v>8</v>
      </c>
      <c r="C9" s="65">
        <v>7</v>
      </c>
    </row>
    <row r="10" spans="1:3" s="145" customFormat="1">
      <c r="A10" s="144" t="s">
        <v>68</v>
      </c>
      <c r="B10" s="66">
        <f>_xlfn.IFNA(INDEX(AllItems!$A$2:$A$1014,MATCH(A10,AllItems!$B$2:$B$1014,0)), 0)</f>
        <v>9</v>
      </c>
      <c r="C10" s="65">
        <v>8</v>
      </c>
    </row>
    <row r="11" spans="1:3" s="114" customFormat="1">
      <c r="A11" s="144" t="s">
        <v>43</v>
      </c>
      <c r="B11" s="66">
        <f>_xlfn.IFNA(INDEX(AllItems!$A$2:$A$1014,MATCH(A11,AllItems!$B$2:$B$1014,0)), 0)</f>
        <v>10</v>
      </c>
      <c r="C11" s="65">
        <v>9</v>
      </c>
    </row>
    <row r="12" spans="1:3" s="128" customFormat="1" ht="15.75" thickBot="1">
      <c r="A12" s="146" t="s">
        <v>69</v>
      </c>
      <c r="B12" s="116">
        <f>_xlfn.IFNA(INDEX(AllItems!$A$2:$A$1014,MATCH(A12,AllItems!$B$2:$B$1014,0)), 0)</f>
        <v>11</v>
      </c>
      <c r="C12" s="127">
        <v>10</v>
      </c>
    </row>
  </sheetData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63C7BD-B040-48EC-B982-840240490D0E}">
          <x14:formula1>
            <xm:f>AllItems!$B$2:$B$215</xm:f>
          </x14:formula1>
          <xm:sqref>A2:A12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1"/>
  <sheetViews>
    <sheetView zoomScale="145" zoomScaleNormal="145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3.7109375" customWidth="1"/>
    <col min="2" max="2" width="13.140625" bestFit="1" customWidth="1"/>
    <col min="3" max="3" width="8.5703125" bestFit="1" customWidth="1"/>
    <col min="4" max="4" width="10.28515625" style="172" bestFit="1" customWidth="1"/>
    <col min="5" max="5" width="19.5703125" bestFit="1" customWidth="1"/>
    <col min="6" max="6" width="9.42578125" bestFit="1" customWidth="1"/>
    <col min="7" max="7" width="11.5703125" style="170" customWidth="1"/>
    <col min="8" max="8" width="12" bestFit="1" customWidth="1"/>
  </cols>
  <sheetData>
    <row r="1" spans="1:8" s="40" customFormat="1">
      <c r="A1" s="40" t="s">
        <v>0</v>
      </c>
      <c r="B1" s="40" t="s">
        <v>1</v>
      </c>
      <c r="C1" s="40" t="s">
        <v>138</v>
      </c>
      <c r="D1" s="171" t="s">
        <v>143</v>
      </c>
      <c r="E1" s="44" t="s">
        <v>2</v>
      </c>
      <c r="F1" s="40" t="s">
        <v>147</v>
      </c>
      <c r="G1" s="169" t="s">
        <v>12</v>
      </c>
      <c r="H1" s="40" t="s">
        <v>3</v>
      </c>
    </row>
    <row r="2" spans="1:8">
      <c r="A2">
        <v>1</v>
      </c>
      <c r="B2" t="s">
        <v>110</v>
      </c>
      <c r="C2" s="175" t="s">
        <v>140</v>
      </c>
      <c r="D2" s="172">
        <f>_xlfn.IFNA(INDEX(ZConfig!$C$26:$C$29,MATCH(C2,ZConfig!$B$26:$B$29,0)),"")</f>
        <v>1</v>
      </c>
      <c r="E2" t="s">
        <v>13</v>
      </c>
      <c r="F2" s="24">
        <v>5</v>
      </c>
      <c r="G2" s="173">
        <v>0</v>
      </c>
      <c r="H2" t="str">
        <f t="shared" ref="H2:H8" si="0">LOWER(SUBSTITUTE(TRIM(B2)," ",""))</f>
        <v>raisedbed</v>
      </c>
    </row>
    <row r="3" spans="1:8">
      <c r="A3">
        <v>2</v>
      </c>
      <c r="B3" t="s">
        <v>15</v>
      </c>
      <c r="C3" t="s">
        <v>140</v>
      </c>
      <c r="D3" s="172">
        <f>_xlfn.IFNA(INDEX(ZConfig!$C$26:$C$29,MATCH(C3,ZConfig!$B$26:$B$29,0)),"")</f>
        <v>1</v>
      </c>
      <c r="E3" t="s">
        <v>16</v>
      </c>
      <c r="F3" s="24">
        <v>200</v>
      </c>
      <c r="G3" s="173">
        <v>10</v>
      </c>
      <c r="H3" t="str">
        <f t="shared" si="0"/>
        <v>bakery</v>
      </c>
    </row>
    <row r="4" spans="1:8">
      <c r="A4">
        <v>3</v>
      </c>
      <c r="B4" t="s">
        <v>87</v>
      </c>
      <c r="C4" t="s">
        <v>140</v>
      </c>
      <c r="D4" s="172">
        <f>_xlfn.IFNA(INDEX(ZConfig!$C$26:$C$29,MATCH(C4,ZConfig!$B$26:$B$29,0)),"")</f>
        <v>1</v>
      </c>
      <c r="E4" t="s">
        <v>61</v>
      </c>
      <c r="F4" s="24">
        <v>800</v>
      </c>
      <c r="G4" s="173">
        <v>0</v>
      </c>
      <c r="H4" t="str">
        <f t="shared" si="0"/>
        <v>chickencoop</v>
      </c>
    </row>
    <row r="5" spans="1:8">
      <c r="A5">
        <v>4</v>
      </c>
      <c r="B5" s="52" t="s">
        <v>104</v>
      </c>
      <c r="C5" s="52" t="s">
        <v>140</v>
      </c>
      <c r="D5" s="172">
        <f>_xlfn.IFNA(INDEX(ZConfig!$C$26:$C$29,MATCH(C5,ZConfig!$B$26:$B$29,0)),"")</f>
        <v>1</v>
      </c>
      <c r="E5" t="s">
        <v>16</v>
      </c>
      <c r="F5" s="24">
        <v>1200</v>
      </c>
      <c r="G5" s="173">
        <v>0</v>
      </c>
      <c r="H5" t="str">
        <f t="shared" si="0"/>
        <v>cowshed</v>
      </c>
    </row>
    <row r="6" spans="1:8">
      <c r="A6">
        <v>5</v>
      </c>
      <c r="B6" t="s">
        <v>111</v>
      </c>
      <c r="C6" t="s">
        <v>140</v>
      </c>
      <c r="D6" s="172">
        <f>_xlfn.IFNA(INDEX(ZConfig!$C$26:$C$29,MATCH(C6,ZConfig!$B$26:$B$29,0)),"")</f>
        <v>1</v>
      </c>
      <c r="E6" t="s">
        <v>112</v>
      </c>
      <c r="F6" s="24">
        <v>200</v>
      </c>
      <c r="G6" s="173">
        <v>0</v>
      </c>
      <c r="H6" t="str">
        <f t="shared" si="0"/>
        <v>appletree</v>
      </c>
    </row>
    <row r="7" spans="1:8">
      <c r="A7">
        <v>6</v>
      </c>
      <c r="B7" t="s">
        <v>119</v>
      </c>
      <c r="C7" t="s">
        <v>140</v>
      </c>
      <c r="D7" s="172">
        <f>_xlfn.IFNA(INDEX(ZConfig!$C$26:$C$29,MATCH(C7,ZConfig!$B$26:$B$29,0)),"")</f>
        <v>1</v>
      </c>
      <c r="E7" t="s">
        <v>120</v>
      </c>
      <c r="F7" s="24">
        <v>200</v>
      </c>
      <c r="G7" s="173">
        <v>0</v>
      </c>
      <c r="H7" t="str">
        <f t="shared" si="0"/>
        <v>orangetree</v>
      </c>
    </row>
    <row r="8" spans="1:8">
      <c r="A8">
        <v>7</v>
      </c>
      <c r="B8" t="s">
        <v>125</v>
      </c>
      <c r="C8" t="s">
        <v>140</v>
      </c>
      <c r="D8" s="172">
        <f>_xlfn.IFNA(INDEX(ZConfig!$C$26:$C$29,MATCH(C8,ZConfig!$B$26:$B$29,0)),"")</f>
        <v>1</v>
      </c>
      <c r="E8" t="s">
        <v>126</v>
      </c>
      <c r="F8" s="24">
        <v>2000</v>
      </c>
      <c r="G8" s="173">
        <v>30</v>
      </c>
      <c r="H8" t="str">
        <f t="shared" si="0"/>
        <v>juicemaker</v>
      </c>
    </row>
    <row r="9" spans="1:8">
      <c r="A9">
        <v>8</v>
      </c>
      <c r="B9" t="s">
        <v>18</v>
      </c>
      <c r="C9" t="s">
        <v>140</v>
      </c>
      <c r="D9" s="172">
        <f>_xlfn.IFNA(INDEX(ZConfig!$C$26:$C$29,MATCH(C9,ZConfig!$B$26:$B$29,0)),"")</f>
        <v>1</v>
      </c>
      <c r="E9" t="s">
        <v>126</v>
      </c>
      <c r="F9" s="24">
        <v>2000</v>
      </c>
      <c r="G9" s="173">
        <v>30</v>
      </c>
      <c r="H9" t="str">
        <f t="shared" ref="H9:H11" si="1">LOWER(SUBSTITUTE(TRIM(B9)," ",""))</f>
        <v>dairy</v>
      </c>
    </row>
    <row r="10" spans="1:8">
      <c r="A10">
        <v>9</v>
      </c>
      <c r="B10" s="174" t="s">
        <v>144</v>
      </c>
      <c r="C10" t="s">
        <v>140</v>
      </c>
      <c r="D10" s="172">
        <f>_xlfn.IFNA(INDEX(ZConfig!$C$26:$C$29,MATCH(C10,ZConfig!$B$26:$B$29,0)),"")</f>
        <v>1</v>
      </c>
      <c r="E10" t="s">
        <v>126</v>
      </c>
      <c r="F10" s="24">
        <v>2000</v>
      </c>
      <c r="G10" s="173">
        <v>30</v>
      </c>
      <c r="H10" t="str">
        <f t="shared" si="1"/>
        <v>sugarmill</v>
      </c>
    </row>
    <row r="11" spans="1:8">
      <c r="A11">
        <v>10</v>
      </c>
      <c r="B11" t="s">
        <v>145</v>
      </c>
      <c r="C11" t="s">
        <v>140</v>
      </c>
      <c r="D11" s="172">
        <f>_xlfn.IFNA(INDEX(ZConfig!$C$26:$C$29,MATCH(C11,ZConfig!$B$26:$B$29,0)),"")</f>
        <v>1</v>
      </c>
      <c r="E11" t="s">
        <v>126</v>
      </c>
      <c r="F11" s="24">
        <v>2000</v>
      </c>
      <c r="G11" s="173">
        <v>30</v>
      </c>
      <c r="H11" t="str">
        <f t="shared" si="1"/>
        <v>furnace</v>
      </c>
    </row>
  </sheetData>
  <pageMargins left="0.69930555555555596" right="0.69930555555555596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73FABF-AF51-4F90-AC13-9F766C6F32FF}">
          <x14:formula1>
            <xm:f>ZConfig!$B$26:$B$29</xm:f>
          </x14:formula1>
          <xm:sqref>C2:C11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E5F9-5138-4B36-8B8B-29D0C4EF34F9}">
  <sheetPr codeName="Sheet7"/>
  <dimension ref="A1:E3"/>
  <sheetViews>
    <sheetView zoomScale="145" zoomScaleNormal="145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3.7109375" customWidth="1"/>
    <col min="2" max="2" width="15.5703125" bestFit="1" customWidth="1"/>
    <col min="3" max="3" width="14.7109375" bestFit="1" customWidth="1"/>
    <col min="4" max="4" width="14.42578125" bestFit="1" customWidth="1"/>
    <col min="5" max="5" width="13.42578125" customWidth="1"/>
  </cols>
  <sheetData>
    <row r="1" spans="1:5" s="40" customFormat="1">
      <c r="A1" s="40" t="s">
        <v>0</v>
      </c>
      <c r="B1" s="40" t="s">
        <v>1</v>
      </c>
      <c r="C1" s="40" t="s">
        <v>146</v>
      </c>
      <c r="D1" s="40" t="s">
        <v>147</v>
      </c>
      <c r="E1" s="40" t="s">
        <v>3</v>
      </c>
    </row>
    <row r="2" spans="1:5">
      <c r="A2">
        <v>1</v>
      </c>
      <c r="B2" t="s">
        <v>150</v>
      </c>
      <c r="C2">
        <v>10</v>
      </c>
      <c r="D2" s="24">
        <v>0</v>
      </c>
      <c r="E2" t="str">
        <f t="shared" ref="E2:E3" si="0">LOWER(SUBSTITUTE(TRIM(B2)," ",""))</f>
        <v>greenbench</v>
      </c>
    </row>
    <row r="3" spans="1:5">
      <c r="A3">
        <v>2</v>
      </c>
      <c r="B3" t="s">
        <v>151</v>
      </c>
      <c r="C3">
        <v>0</v>
      </c>
      <c r="D3" s="24">
        <v>10</v>
      </c>
      <c r="E3" t="str">
        <f t="shared" si="0"/>
        <v>floortilebrown</v>
      </c>
    </row>
  </sheetData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E385C-4504-4FE2-B37A-47655FF18856}">
  <sheetPr codeName="Sheet8"/>
  <dimension ref="A1:N3"/>
  <sheetViews>
    <sheetView zoomScale="130" zoomScaleNormal="130" workbookViewId="0">
      <pane ySplit="1" topLeftCell="A2" activePane="bottomLeft" state="frozen"/>
      <selection pane="bottomLeft" activeCell="A2" sqref="A2:A3"/>
    </sheetView>
  </sheetViews>
  <sheetFormatPr defaultColWidth="9" defaultRowHeight="15"/>
  <cols>
    <col min="1" max="1" width="13.7109375" style="54" bestFit="1" customWidth="1"/>
    <col min="2" max="2" width="10" style="63" bestFit="1" customWidth="1"/>
    <col min="3" max="3" width="12.28515625" style="54" bestFit="1" customWidth="1"/>
    <col min="4" max="4" width="8.7109375" style="63" bestFit="1" customWidth="1"/>
    <col min="5" max="5" width="13" style="17" customWidth="1"/>
    <col min="6" max="6" width="9" style="17"/>
    <col min="7" max="7" width="10.28515625" style="54" bestFit="1" customWidth="1"/>
    <col min="8" max="8" width="11.42578125" style="63" bestFit="1" customWidth="1"/>
    <col min="9" max="9" width="10.28515625" style="61" bestFit="1" customWidth="1"/>
    <col min="10" max="10" width="10.28515625" style="54" bestFit="1" customWidth="1"/>
    <col min="11" max="11" width="12.85546875" style="63" bestFit="1" customWidth="1"/>
    <col min="12" max="12" width="10.28515625" style="61" bestFit="1" customWidth="1"/>
    <col min="13" max="13" width="11.42578125" style="54" bestFit="1" customWidth="1"/>
    <col min="14" max="14" width="21.42578125" style="61" bestFit="1" customWidth="1"/>
    <col min="15" max="16384" width="9" style="17"/>
  </cols>
  <sheetData>
    <row r="1" spans="1:13" s="46" customFormat="1" ht="15.75" thickBot="1">
      <c r="A1" s="129" t="s">
        <v>115</v>
      </c>
      <c r="B1" s="130" t="s">
        <v>116</v>
      </c>
      <c r="C1" s="129" t="s">
        <v>105</v>
      </c>
      <c r="D1" s="130" t="s">
        <v>106</v>
      </c>
      <c r="E1" s="131" t="s">
        <v>157</v>
      </c>
      <c r="F1" s="132" t="s">
        <v>158</v>
      </c>
      <c r="G1" s="133" t="s">
        <v>159</v>
      </c>
      <c r="H1" s="134" t="s">
        <v>160</v>
      </c>
      <c r="I1" s="135" t="s">
        <v>161</v>
      </c>
      <c r="J1" s="136" t="s">
        <v>162</v>
      </c>
      <c r="K1" s="137" t="s">
        <v>163</v>
      </c>
      <c r="L1" s="138" t="s">
        <v>164</v>
      </c>
      <c r="M1" s="139" t="s">
        <v>165</v>
      </c>
    </row>
    <row r="2" spans="1:13" s="112" customFormat="1">
      <c r="A2" s="101" t="s">
        <v>87</v>
      </c>
      <c r="B2" s="100">
        <f>_xlfn.IFNA(INDEX(Source!$A$2:$A$986,MATCH(A2,Source!$B$2:$B$986,0)),"")</f>
        <v>3</v>
      </c>
      <c r="C2" s="162" t="s">
        <v>102</v>
      </c>
      <c r="D2" s="100">
        <f>_xlfn.IFNA(INDEX(AllItems!$A$2:$A$1014,MATCH(C2,AllItems!$B$2:$B$1014,0)), 0)</f>
        <v>16</v>
      </c>
      <c r="E2" s="102" t="s">
        <v>4</v>
      </c>
      <c r="F2" s="103">
        <f>_xlfn.IFNA( INDEX(AllItems!$A$2:$A$1014,MATCH(E2,AllItems!$B$2:$B$1014,0)), 0)</f>
        <v>1</v>
      </c>
      <c r="G2" s="104">
        <v>4</v>
      </c>
      <c r="H2" s="105" t="s">
        <v>8</v>
      </c>
      <c r="I2" s="106">
        <f>_xlfn.IFNA( INDEX(AllItems!$A$2:$A$1014,MATCH(H2,AllItems!$B$2:$B$1014,0)), 0)</f>
        <v>2</v>
      </c>
      <c r="J2" s="107">
        <v>3</v>
      </c>
      <c r="K2" s="108" t="s">
        <v>154</v>
      </c>
      <c r="L2" s="109">
        <f>_xlfn.IFNA( INDEX(AllItems!$A$2:$A$1014,MATCH(K2,AllItems!$B$2:$B$1014,0)), 0)</f>
        <v>27</v>
      </c>
      <c r="M2" s="110">
        <v>20</v>
      </c>
    </row>
    <row r="3" spans="1:13" s="128" customFormat="1" ht="15.75" thickBot="1">
      <c r="A3" s="117" t="s">
        <v>104</v>
      </c>
      <c r="B3" s="116">
        <f>_xlfn.IFNA(INDEX(Source!$A$2:$A$986,MATCH(A3,Source!$B$2:$B$986,0)),"")</f>
        <v>4</v>
      </c>
      <c r="C3" s="163" t="s">
        <v>103</v>
      </c>
      <c r="D3" s="116">
        <f>_xlfn.IFNA(INDEX(AllItems!$A$2:$A$1014,MATCH(C3,AllItems!$B$2:$B$1014,0)), 0)</f>
        <v>17</v>
      </c>
      <c r="E3" s="118" t="s">
        <v>156</v>
      </c>
      <c r="F3" s="119">
        <f>_xlfn.IFNA( INDEX(AllItems!$A$2:$A$1014,MATCH(E3,AllItems!$B$2:$B$1014,0)), 0)</f>
        <v>29</v>
      </c>
      <c r="G3" s="120">
        <v>4</v>
      </c>
      <c r="H3" s="121" t="s">
        <v>37</v>
      </c>
      <c r="I3" s="122">
        <f>_xlfn.IFNA( INDEX(AllItems!$A$2:$A$1014,MATCH(H3,AllItems!$B$2:$B$1014,0)), 0)</f>
        <v>3</v>
      </c>
      <c r="J3" s="123">
        <v>4</v>
      </c>
      <c r="K3" s="124" t="s">
        <v>155</v>
      </c>
      <c r="L3" s="125">
        <f>_xlfn.IFNA( INDEX(AllItems!$A$2:$A$1014,MATCH(K3,AllItems!$B$2:$B$1014,0)), 0)</f>
        <v>28</v>
      </c>
      <c r="M3" s="126">
        <v>40</v>
      </c>
    </row>
  </sheetData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DAD9291-D66A-499B-933E-237325C2D353}">
          <x14:formula1>
            <xm:f>Source!$B$2:$B$986</xm:f>
          </x14:formula1>
          <xm:sqref>A2:A3</xm:sqref>
        </x14:dataValidation>
        <x14:dataValidation type="list" allowBlank="1" showInputMessage="1" showErrorMessage="1" xr:uid="{8443641B-DA6F-421B-BDA5-DC84F296AC43}">
          <x14:formula1>
            <xm:f>AllItems!$B$2:$B$2012</xm:f>
          </x14:formula1>
          <xm:sqref>K2:K3 E2:E3 H2:H3</xm:sqref>
        </x14:dataValidation>
        <x14:dataValidation type="list" allowBlank="1" showInputMessage="1" showErrorMessage="1" xr:uid="{53336C36-24E9-4CA5-9294-2C480531623D}">
          <x14:formula1>
            <xm:f>AllItems!$B$2:$B$215</xm:f>
          </x14:formula1>
          <xm:sqref>C2:C3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50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5" sqref="I15"/>
    </sheetView>
  </sheetViews>
  <sheetFormatPr defaultColWidth="9" defaultRowHeight="15"/>
  <cols>
    <col min="2" max="2" width="15" style="36" bestFit="1" customWidth="1"/>
    <col min="3" max="5" width="14" style="30" bestFit="1" customWidth="1"/>
    <col min="6" max="8" width="17.28515625" style="34" bestFit="1" customWidth="1"/>
    <col min="9" max="9" width="18.5703125" bestFit="1" customWidth="1"/>
    <col min="10" max="10" width="18.42578125" customWidth="1"/>
  </cols>
  <sheetData>
    <row r="1" spans="1:9" s="40" customFormat="1">
      <c r="A1" s="37" t="s">
        <v>24</v>
      </c>
      <c r="B1" s="38" t="s">
        <v>25</v>
      </c>
      <c r="C1" s="41" t="s">
        <v>71</v>
      </c>
      <c r="D1" s="41" t="s">
        <v>72</v>
      </c>
      <c r="E1" s="41" t="s">
        <v>73</v>
      </c>
      <c r="F1" s="42" t="s">
        <v>74</v>
      </c>
      <c r="G1" s="42" t="s">
        <v>75</v>
      </c>
      <c r="H1" s="42" t="s">
        <v>76</v>
      </c>
      <c r="I1" s="39" t="s">
        <v>26</v>
      </c>
    </row>
    <row r="2" spans="1:9">
      <c r="A2" s="31">
        <v>0</v>
      </c>
      <c r="B2" s="35">
        <v>50</v>
      </c>
      <c r="C2" s="32">
        <v>-1</v>
      </c>
      <c r="D2" s="32">
        <v>-1</v>
      </c>
      <c r="E2" s="32">
        <v>-1</v>
      </c>
      <c r="F2" s="33">
        <v>0</v>
      </c>
      <c r="G2" s="33">
        <v>-1</v>
      </c>
      <c r="H2" s="33">
        <v>-1</v>
      </c>
      <c r="I2" s="31">
        <v>10</v>
      </c>
    </row>
    <row r="3" spans="1:9">
      <c r="A3" s="31">
        <v>1</v>
      </c>
      <c r="B3" s="35">
        <v>70</v>
      </c>
      <c r="C3" s="32">
        <v>-1</v>
      </c>
      <c r="D3" s="32">
        <v>-1</v>
      </c>
      <c r="E3" s="32">
        <v>-1</v>
      </c>
      <c r="F3" s="33">
        <v>-1</v>
      </c>
      <c r="G3" s="33">
        <v>-1</v>
      </c>
      <c r="H3" s="33">
        <v>-1</v>
      </c>
      <c r="I3" s="31">
        <v>5</v>
      </c>
    </row>
    <row r="4" spans="1:9">
      <c r="A4" s="31">
        <v>2</v>
      </c>
      <c r="B4" s="35">
        <v>130</v>
      </c>
      <c r="C4" s="32">
        <v>-1</v>
      </c>
      <c r="D4" s="32">
        <v>-1</v>
      </c>
      <c r="E4" s="32">
        <v>-1</v>
      </c>
      <c r="F4" s="33">
        <v>-1</v>
      </c>
      <c r="G4" s="33">
        <v>-1</v>
      </c>
      <c r="H4" s="33">
        <v>-1</v>
      </c>
      <c r="I4" s="31">
        <v>5</v>
      </c>
    </row>
    <row r="5" spans="1:9">
      <c r="A5" s="31">
        <v>3</v>
      </c>
      <c r="B5" s="35">
        <v>220</v>
      </c>
      <c r="C5" s="32">
        <v>-1</v>
      </c>
      <c r="D5" s="32">
        <v>-1</v>
      </c>
      <c r="E5" s="32">
        <v>-1</v>
      </c>
      <c r="F5" s="33">
        <v>1</v>
      </c>
      <c r="G5" s="33">
        <v>-1</v>
      </c>
      <c r="H5" s="33">
        <v>-1</v>
      </c>
      <c r="I5" s="31">
        <v>0</v>
      </c>
    </row>
    <row r="6" spans="1:9">
      <c r="A6" s="31">
        <v>4</v>
      </c>
      <c r="B6" s="35">
        <v>350</v>
      </c>
      <c r="C6" s="32">
        <v>-1</v>
      </c>
      <c r="D6" s="32">
        <v>-1</v>
      </c>
      <c r="E6" s="32">
        <v>-1</v>
      </c>
      <c r="F6" s="33">
        <v>-1</v>
      </c>
      <c r="G6" s="33">
        <v>-1</v>
      </c>
      <c r="H6" s="33">
        <v>-1</v>
      </c>
      <c r="I6" s="31">
        <v>5</v>
      </c>
    </row>
    <row r="7" spans="1:9">
      <c r="A7" s="31">
        <v>5</v>
      </c>
      <c r="B7" s="35">
        <v>520</v>
      </c>
      <c r="C7" s="32">
        <v>-1</v>
      </c>
      <c r="D7" s="32">
        <v>-1</v>
      </c>
      <c r="E7" s="32">
        <v>-1</v>
      </c>
      <c r="F7" s="33">
        <v>2</v>
      </c>
      <c r="G7" s="33">
        <v>-1</v>
      </c>
      <c r="H7" s="33">
        <v>-1</v>
      </c>
      <c r="I7" s="31">
        <v>0</v>
      </c>
    </row>
    <row r="8" spans="1:9">
      <c r="A8" s="31">
        <v>6</v>
      </c>
      <c r="B8" s="35">
        <v>730</v>
      </c>
      <c r="C8" s="32">
        <v>-1</v>
      </c>
      <c r="D8" s="32">
        <v>-1</v>
      </c>
      <c r="E8" s="32">
        <v>-1</v>
      </c>
      <c r="F8" s="33">
        <v>-1</v>
      </c>
      <c r="G8" s="33">
        <v>-1</v>
      </c>
      <c r="H8" s="33">
        <v>-1</v>
      </c>
      <c r="I8" s="31">
        <v>5</v>
      </c>
    </row>
    <row r="9" spans="1:9">
      <c r="A9" s="31">
        <v>7</v>
      </c>
      <c r="B9" s="35">
        <v>1000</v>
      </c>
      <c r="C9" s="32">
        <v>-1</v>
      </c>
      <c r="D9" s="32">
        <v>-1</v>
      </c>
      <c r="E9" s="32">
        <v>-1</v>
      </c>
      <c r="F9" s="33">
        <v>-1</v>
      </c>
      <c r="G9" s="33">
        <v>-1</v>
      </c>
      <c r="H9" s="33">
        <v>-1</v>
      </c>
      <c r="I9" s="31">
        <v>0</v>
      </c>
    </row>
    <row r="10" spans="1:9">
      <c r="A10" s="31">
        <v>8</v>
      </c>
      <c r="B10" s="35">
        <v>1340</v>
      </c>
      <c r="C10" s="32">
        <v>-1</v>
      </c>
      <c r="D10" s="32">
        <v>-1</v>
      </c>
      <c r="E10" s="32">
        <v>-1</v>
      </c>
      <c r="F10" s="33">
        <v>-1</v>
      </c>
      <c r="G10" s="33">
        <v>-1</v>
      </c>
      <c r="H10" s="33">
        <v>-1</v>
      </c>
      <c r="I10" s="31">
        <v>5</v>
      </c>
    </row>
    <row r="11" spans="1:9">
      <c r="A11" s="31">
        <v>9</v>
      </c>
      <c r="B11" s="35">
        <v>1730</v>
      </c>
      <c r="C11" s="32">
        <v>-1</v>
      </c>
      <c r="D11" s="32">
        <v>-1</v>
      </c>
      <c r="E11" s="32">
        <v>-1</v>
      </c>
      <c r="F11" s="33">
        <v>-1</v>
      </c>
      <c r="G11" s="33">
        <v>-1</v>
      </c>
      <c r="H11" s="33">
        <v>-1</v>
      </c>
      <c r="I11" s="31">
        <v>0</v>
      </c>
    </row>
    <row r="12" spans="1:9">
      <c r="A12" s="31">
        <v>10</v>
      </c>
      <c r="B12" s="35">
        <v>2200</v>
      </c>
      <c r="C12" s="32">
        <v>-1</v>
      </c>
      <c r="D12" s="32">
        <v>-1</v>
      </c>
      <c r="E12" s="32">
        <v>-1</v>
      </c>
      <c r="F12" s="33">
        <v>-1</v>
      </c>
      <c r="G12" s="33">
        <v>-1</v>
      </c>
      <c r="H12" s="33">
        <v>-1</v>
      </c>
      <c r="I12" s="31">
        <v>10</v>
      </c>
    </row>
    <row r="13" spans="1:9">
      <c r="A13" s="31">
        <v>11</v>
      </c>
      <c r="B13" s="35">
        <v>2750</v>
      </c>
      <c r="C13" s="32">
        <v>-1</v>
      </c>
      <c r="D13" s="32">
        <v>-1</v>
      </c>
      <c r="E13" s="32">
        <v>-1</v>
      </c>
      <c r="F13" s="33">
        <v>-1</v>
      </c>
      <c r="G13" s="33">
        <v>-1</v>
      </c>
      <c r="H13" s="33">
        <v>-1</v>
      </c>
      <c r="I13" s="31">
        <v>0</v>
      </c>
    </row>
    <row r="14" spans="1:9">
      <c r="A14" s="31">
        <v>12</v>
      </c>
      <c r="B14" s="35">
        <v>3380</v>
      </c>
      <c r="C14" s="32">
        <v>-1</v>
      </c>
      <c r="D14" s="32">
        <v>-1</v>
      </c>
      <c r="E14" s="32">
        <v>-1</v>
      </c>
      <c r="F14" s="33">
        <v>-1</v>
      </c>
      <c r="G14" s="33">
        <v>-1</v>
      </c>
      <c r="H14" s="33">
        <v>-1</v>
      </c>
      <c r="I14" s="31">
        <v>10</v>
      </c>
    </row>
    <row r="15" spans="1:9">
      <c r="A15" s="31">
        <v>13</v>
      </c>
      <c r="B15" s="35">
        <v>4100</v>
      </c>
      <c r="C15" s="32">
        <v>-1</v>
      </c>
      <c r="D15" s="32">
        <v>-1</v>
      </c>
      <c r="E15" s="32">
        <v>-1</v>
      </c>
      <c r="F15" s="33">
        <v>-1</v>
      </c>
      <c r="G15" s="33">
        <v>-1</v>
      </c>
      <c r="H15" s="33">
        <v>-1</v>
      </c>
      <c r="I15" s="31">
        <v>0</v>
      </c>
    </row>
    <row r="16" spans="1:9">
      <c r="A16" s="31">
        <v>14</v>
      </c>
      <c r="B16" s="35">
        <v>4920</v>
      </c>
      <c r="C16" s="32">
        <v>-1</v>
      </c>
      <c r="D16" s="32">
        <v>-1</v>
      </c>
      <c r="E16" s="32">
        <v>-1</v>
      </c>
      <c r="F16" s="33">
        <v>-1</v>
      </c>
      <c r="G16" s="33">
        <v>-1</v>
      </c>
      <c r="H16" s="33">
        <v>-1</v>
      </c>
      <c r="I16" s="31">
        <v>10</v>
      </c>
    </row>
    <row r="17" spans="1:9">
      <c r="A17" s="31">
        <v>15</v>
      </c>
      <c r="B17" s="35">
        <v>5840</v>
      </c>
      <c r="C17" s="32">
        <v>-1</v>
      </c>
      <c r="D17" s="32">
        <v>-1</v>
      </c>
      <c r="E17" s="32">
        <v>-1</v>
      </c>
      <c r="F17" s="33">
        <v>-1</v>
      </c>
      <c r="G17" s="33">
        <v>-1</v>
      </c>
      <c r="H17" s="33">
        <v>-1</v>
      </c>
      <c r="I17" s="31">
        <v>0</v>
      </c>
    </row>
    <row r="18" spans="1:9">
      <c r="A18" s="31">
        <v>16</v>
      </c>
      <c r="B18" s="35">
        <v>6860</v>
      </c>
      <c r="C18" s="32">
        <v>-1</v>
      </c>
      <c r="D18" s="32">
        <v>-1</v>
      </c>
      <c r="E18" s="32">
        <v>-1</v>
      </c>
      <c r="F18" s="33">
        <v>-1</v>
      </c>
      <c r="G18" s="33">
        <v>-1</v>
      </c>
      <c r="H18" s="33">
        <v>-1</v>
      </c>
      <c r="I18" s="31">
        <v>10</v>
      </c>
    </row>
    <row r="19" spans="1:9">
      <c r="A19" s="31">
        <v>17</v>
      </c>
      <c r="B19" s="35">
        <v>8000</v>
      </c>
      <c r="C19" s="32">
        <v>-1</v>
      </c>
      <c r="D19" s="32">
        <v>-1</v>
      </c>
      <c r="E19" s="32">
        <v>-1</v>
      </c>
      <c r="F19" s="33">
        <v>-1</v>
      </c>
      <c r="G19" s="33">
        <v>-1</v>
      </c>
      <c r="H19" s="33">
        <v>-1</v>
      </c>
      <c r="I19" s="31">
        <v>0</v>
      </c>
    </row>
    <row r="20" spans="1:9">
      <c r="A20" s="31">
        <v>18</v>
      </c>
      <c r="B20" s="35">
        <v>9270</v>
      </c>
      <c r="C20" s="32">
        <v>-1</v>
      </c>
      <c r="D20" s="32">
        <v>-1</v>
      </c>
      <c r="E20" s="32">
        <v>-1</v>
      </c>
      <c r="F20" s="33">
        <v>-1</v>
      </c>
      <c r="G20" s="33">
        <v>-1</v>
      </c>
      <c r="H20" s="33">
        <v>-1</v>
      </c>
      <c r="I20" s="31">
        <v>10</v>
      </c>
    </row>
    <row r="21" spans="1:9">
      <c r="A21" s="31">
        <v>19</v>
      </c>
      <c r="B21" s="35">
        <v>10650</v>
      </c>
      <c r="C21" s="32">
        <v>-1</v>
      </c>
      <c r="D21" s="32">
        <v>-1</v>
      </c>
      <c r="E21" s="32">
        <v>-1</v>
      </c>
      <c r="F21" s="33">
        <v>-1</v>
      </c>
      <c r="G21" s="33">
        <v>-1</v>
      </c>
      <c r="H21" s="33">
        <v>-1</v>
      </c>
      <c r="I21" s="31">
        <v>0</v>
      </c>
    </row>
    <row r="22" spans="1:9">
      <c r="A22" s="31">
        <v>20</v>
      </c>
      <c r="B22" s="35">
        <v>12170</v>
      </c>
      <c r="C22" s="32">
        <v>-1</v>
      </c>
      <c r="D22" s="32">
        <v>-1</v>
      </c>
      <c r="E22" s="32">
        <v>-1</v>
      </c>
      <c r="F22" s="33">
        <v>-1</v>
      </c>
      <c r="G22" s="33">
        <v>-1</v>
      </c>
      <c r="H22" s="33">
        <v>-1</v>
      </c>
      <c r="I22" s="31">
        <v>15</v>
      </c>
    </row>
    <row r="23" spans="1:9">
      <c r="A23" s="31">
        <v>21</v>
      </c>
      <c r="B23" s="35">
        <v>13830</v>
      </c>
      <c r="C23" s="32">
        <v>-1</v>
      </c>
      <c r="D23" s="32">
        <v>-1</v>
      </c>
      <c r="E23" s="32">
        <v>-1</v>
      </c>
      <c r="F23" s="33">
        <v>-1</v>
      </c>
      <c r="G23" s="33">
        <v>-1</v>
      </c>
      <c r="H23" s="33">
        <v>-1</v>
      </c>
      <c r="I23" s="31">
        <v>0</v>
      </c>
    </row>
    <row r="24" spans="1:9">
      <c r="A24" s="31">
        <v>22</v>
      </c>
      <c r="B24" s="35">
        <v>15630</v>
      </c>
      <c r="C24" s="32">
        <v>-1</v>
      </c>
      <c r="D24" s="32">
        <v>-1</v>
      </c>
      <c r="E24" s="32">
        <v>-1</v>
      </c>
      <c r="F24" s="33">
        <v>-1</v>
      </c>
      <c r="G24" s="33">
        <v>-1</v>
      </c>
      <c r="H24" s="33">
        <v>-1</v>
      </c>
      <c r="I24" s="31">
        <v>15</v>
      </c>
    </row>
    <row r="25" spans="1:9">
      <c r="A25" s="31">
        <v>23</v>
      </c>
      <c r="B25" s="35">
        <v>17580</v>
      </c>
      <c r="C25" s="32">
        <v>-1</v>
      </c>
      <c r="D25" s="32">
        <v>-1</v>
      </c>
      <c r="E25" s="32">
        <v>-1</v>
      </c>
      <c r="F25" s="33">
        <v>-1</v>
      </c>
      <c r="G25" s="33">
        <v>-1</v>
      </c>
      <c r="H25" s="33">
        <v>-1</v>
      </c>
      <c r="I25" s="31">
        <v>0</v>
      </c>
    </row>
    <row r="26" spans="1:9">
      <c r="A26" s="31">
        <v>24</v>
      </c>
      <c r="B26" s="35">
        <v>19690</v>
      </c>
      <c r="C26" s="32">
        <v>-1</v>
      </c>
      <c r="D26" s="32">
        <v>-1</v>
      </c>
      <c r="E26" s="32">
        <v>-1</v>
      </c>
      <c r="F26" s="33">
        <v>-1</v>
      </c>
      <c r="G26" s="33">
        <v>-1</v>
      </c>
      <c r="H26" s="33">
        <v>-1</v>
      </c>
      <c r="I26" s="31">
        <v>15</v>
      </c>
    </row>
    <row r="27" spans="1:9">
      <c r="A27" s="31">
        <v>25</v>
      </c>
      <c r="B27" s="35">
        <v>21960</v>
      </c>
      <c r="C27" s="32">
        <v>-1</v>
      </c>
      <c r="D27" s="32">
        <v>-1</v>
      </c>
      <c r="E27" s="32">
        <v>-1</v>
      </c>
      <c r="F27" s="33">
        <v>-1</v>
      </c>
      <c r="G27" s="33">
        <v>-1</v>
      </c>
      <c r="H27" s="33">
        <v>-1</v>
      </c>
      <c r="I27" s="31">
        <v>30</v>
      </c>
    </row>
    <row r="28" spans="1:9">
      <c r="A28" s="31">
        <v>26</v>
      </c>
      <c r="B28" s="35">
        <v>24390</v>
      </c>
      <c r="C28" s="32">
        <v>-1</v>
      </c>
      <c r="D28" s="32">
        <v>-1</v>
      </c>
      <c r="E28" s="32">
        <v>-1</v>
      </c>
      <c r="F28" s="33">
        <v>-1</v>
      </c>
      <c r="G28" s="33">
        <v>-1</v>
      </c>
      <c r="H28" s="33">
        <v>-1</v>
      </c>
      <c r="I28" s="31">
        <v>45</v>
      </c>
    </row>
    <row r="29" spans="1:9">
      <c r="A29" s="31">
        <v>27</v>
      </c>
      <c r="B29" s="35">
        <v>27000</v>
      </c>
      <c r="C29" s="32">
        <v>-1</v>
      </c>
      <c r="D29" s="32">
        <v>-1</v>
      </c>
      <c r="E29" s="32">
        <v>-1</v>
      </c>
      <c r="F29" s="33">
        <v>-1</v>
      </c>
      <c r="G29" s="33">
        <v>-1</v>
      </c>
      <c r="H29" s="33">
        <v>-1</v>
      </c>
      <c r="I29" s="31">
        <v>60</v>
      </c>
    </row>
    <row r="30" spans="1:9">
      <c r="A30" s="31">
        <v>28</v>
      </c>
      <c r="B30" s="35">
        <v>29800</v>
      </c>
      <c r="C30" s="32">
        <v>-1</v>
      </c>
      <c r="D30" s="32">
        <v>-1</v>
      </c>
      <c r="E30" s="32">
        <v>-1</v>
      </c>
      <c r="F30" s="33">
        <v>-1</v>
      </c>
      <c r="G30" s="33">
        <v>-1</v>
      </c>
      <c r="H30" s="33">
        <v>-1</v>
      </c>
      <c r="I30" s="31">
        <v>75</v>
      </c>
    </row>
    <row r="31" spans="1:9">
      <c r="A31" s="31">
        <v>29</v>
      </c>
      <c r="B31" s="35">
        <v>32770</v>
      </c>
      <c r="C31" s="32">
        <v>-1</v>
      </c>
      <c r="D31" s="32">
        <v>-1</v>
      </c>
      <c r="E31" s="32">
        <v>-1</v>
      </c>
      <c r="F31" s="33">
        <v>-1</v>
      </c>
      <c r="G31" s="33">
        <v>-1</v>
      </c>
      <c r="H31" s="33">
        <v>-1</v>
      </c>
      <c r="I31" s="31">
        <v>90</v>
      </c>
    </row>
    <row r="32" spans="1:9">
      <c r="A32" s="31">
        <v>30</v>
      </c>
      <c r="B32" s="35">
        <v>35940</v>
      </c>
      <c r="C32" s="32">
        <v>-1</v>
      </c>
      <c r="D32" s="32">
        <v>-1</v>
      </c>
      <c r="E32" s="32">
        <v>-1</v>
      </c>
      <c r="F32" s="33">
        <v>-1</v>
      </c>
      <c r="G32" s="33">
        <v>-1</v>
      </c>
      <c r="H32" s="33">
        <v>-1</v>
      </c>
      <c r="I32" s="31">
        <v>105</v>
      </c>
    </row>
    <row r="33" spans="1:9">
      <c r="A33" s="31">
        <v>31</v>
      </c>
      <c r="B33" s="35">
        <v>39310</v>
      </c>
      <c r="C33" s="32">
        <v>-1</v>
      </c>
      <c r="D33" s="32">
        <v>-1</v>
      </c>
      <c r="E33" s="32">
        <v>-1</v>
      </c>
      <c r="F33" s="33">
        <v>-1</v>
      </c>
      <c r="G33" s="33">
        <v>-1</v>
      </c>
      <c r="H33" s="33">
        <v>-1</v>
      </c>
      <c r="I33" s="31">
        <v>120</v>
      </c>
    </row>
    <row r="34" spans="1:9">
      <c r="A34" s="31">
        <v>32</v>
      </c>
      <c r="B34" s="35">
        <v>42880</v>
      </c>
      <c r="C34" s="32">
        <v>-1</v>
      </c>
      <c r="D34" s="32">
        <v>-1</v>
      </c>
      <c r="E34" s="32">
        <v>-1</v>
      </c>
      <c r="F34" s="33">
        <v>-1</v>
      </c>
      <c r="G34" s="33">
        <v>-1</v>
      </c>
      <c r="H34" s="33">
        <v>-1</v>
      </c>
      <c r="I34" s="31">
        <v>135</v>
      </c>
    </row>
    <row r="35" spans="1:9">
      <c r="A35" s="31">
        <v>33</v>
      </c>
      <c r="B35" s="35">
        <v>46660</v>
      </c>
      <c r="C35" s="32">
        <v>-1</v>
      </c>
      <c r="D35" s="32">
        <v>-1</v>
      </c>
      <c r="E35" s="32">
        <v>-1</v>
      </c>
      <c r="F35" s="33">
        <v>-1</v>
      </c>
      <c r="G35" s="33">
        <v>-1</v>
      </c>
      <c r="H35" s="33">
        <v>-1</v>
      </c>
      <c r="I35" s="31">
        <v>150</v>
      </c>
    </row>
    <row r="36" spans="1:9">
      <c r="A36" s="31">
        <v>34</v>
      </c>
      <c r="B36" s="35">
        <v>50660</v>
      </c>
      <c r="C36" s="32">
        <v>-1</v>
      </c>
      <c r="D36" s="32">
        <v>-1</v>
      </c>
      <c r="E36" s="32">
        <v>-1</v>
      </c>
      <c r="F36" s="33">
        <v>-1</v>
      </c>
      <c r="G36" s="33">
        <v>-1</v>
      </c>
      <c r="H36" s="33">
        <v>-1</v>
      </c>
      <c r="I36" s="31">
        <v>165</v>
      </c>
    </row>
    <row r="37" spans="1:9">
      <c r="A37" s="31">
        <v>35</v>
      </c>
      <c r="B37" s="35">
        <v>54880</v>
      </c>
      <c r="C37" s="32">
        <v>-1</v>
      </c>
      <c r="D37" s="32">
        <v>-1</v>
      </c>
      <c r="E37" s="32">
        <v>-1</v>
      </c>
      <c r="F37" s="33">
        <v>-1</v>
      </c>
      <c r="G37" s="33">
        <v>-1</v>
      </c>
      <c r="H37" s="33">
        <v>-1</v>
      </c>
      <c r="I37" s="31">
        <v>180</v>
      </c>
    </row>
    <row r="38" spans="1:9">
      <c r="A38" s="31">
        <v>36</v>
      </c>
      <c r="B38" s="35">
        <f>ZConfig!G39</f>
        <v>50660</v>
      </c>
      <c r="C38" s="32">
        <v>-1</v>
      </c>
      <c r="D38" s="32">
        <v>-1</v>
      </c>
      <c r="E38" s="32">
        <v>-1</v>
      </c>
      <c r="F38" s="33">
        <v>-1</v>
      </c>
      <c r="G38" s="33">
        <v>-1</v>
      </c>
      <c r="H38" s="33">
        <v>-1</v>
      </c>
      <c r="I38" s="31">
        <v>195</v>
      </c>
    </row>
    <row r="39" spans="1:9">
      <c r="A39" s="31">
        <v>37</v>
      </c>
      <c r="B39" s="35">
        <f>ZConfig!G40</f>
        <v>54880</v>
      </c>
      <c r="C39" s="32">
        <v>-1</v>
      </c>
      <c r="D39" s="32">
        <v>-1</v>
      </c>
      <c r="E39" s="32">
        <v>-1</v>
      </c>
      <c r="F39" s="33">
        <v>-1</v>
      </c>
      <c r="G39" s="33">
        <v>-1</v>
      </c>
      <c r="H39" s="33">
        <v>-1</v>
      </c>
      <c r="I39" s="31">
        <v>210</v>
      </c>
    </row>
    <row r="40" spans="1:9">
      <c r="A40" s="31">
        <v>38</v>
      </c>
      <c r="B40" s="35">
        <f>ZConfig!G41</f>
        <v>59320</v>
      </c>
      <c r="C40" s="32">
        <v>-1</v>
      </c>
      <c r="D40" s="32">
        <v>-1</v>
      </c>
      <c r="E40" s="32">
        <v>-1</v>
      </c>
      <c r="F40" s="33">
        <v>-1</v>
      </c>
      <c r="G40" s="33">
        <v>-1</v>
      </c>
      <c r="H40" s="33">
        <v>-1</v>
      </c>
      <c r="I40" s="31">
        <v>225</v>
      </c>
    </row>
    <row r="41" spans="1:9">
      <c r="A41" s="31">
        <v>39</v>
      </c>
      <c r="B41" s="35">
        <f>ZConfig!G42</f>
        <v>64000</v>
      </c>
      <c r="C41" s="32">
        <v>-1</v>
      </c>
      <c r="D41" s="32">
        <v>-1</v>
      </c>
      <c r="E41" s="32">
        <v>-1</v>
      </c>
      <c r="F41" s="33">
        <v>-1</v>
      </c>
      <c r="G41" s="33">
        <v>-1</v>
      </c>
      <c r="H41" s="33">
        <v>-1</v>
      </c>
      <c r="I41" s="31">
        <v>240</v>
      </c>
    </row>
    <row r="42" spans="1:9">
      <c r="A42" s="31">
        <v>40</v>
      </c>
      <c r="B42" s="35">
        <f>ZConfig!G43</f>
        <v>68930</v>
      </c>
      <c r="C42" s="32">
        <v>-1</v>
      </c>
      <c r="D42" s="32">
        <v>-1</v>
      </c>
      <c r="E42" s="32">
        <v>-1</v>
      </c>
      <c r="F42" s="33">
        <v>-1</v>
      </c>
      <c r="G42" s="33">
        <v>-1</v>
      </c>
      <c r="H42" s="33">
        <v>-1</v>
      </c>
      <c r="I42" s="31">
        <v>255</v>
      </c>
    </row>
    <row r="43" spans="1:9">
      <c r="A43" s="31">
        <v>41</v>
      </c>
      <c r="B43" s="35">
        <f>ZConfig!G44</f>
        <v>74090</v>
      </c>
      <c r="C43" s="32">
        <v>-1</v>
      </c>
      <c r="D43" s="32">
        <v>-1</v>
      </c>
      <c r="E43" s="32">
        <v>-1</v>
      </c>
      <c r="F43" s="33">
        <v>-1</v>
      </c>
      <c r="G43" s="33">
        <v>-1</v>
      </c>
      <c r="H43" s="33">
        <v>-1</v>
      </c>
      <c r="I43" s="31">
        <v>270</v>
      </c>
    </row>
    <row r="44" spans="1:9">
      <c r="A44" s="31">
        <v>42</v>
      </c>
      <c r="B44" s="35">
        <f>ZConfig!G45</f>
        <v>79510</v>
      </c>
      <c r="C44" s="32">
        <v>-1</v>
      </c>
      <c r="D44" s="32">
        <v>-1</v>
      </c>
      <c r="E44" s="32">
        <v>-1</v>
      </c>
      <c r="F44" s="33">
        <v>-1</v>
      </c>
      <c r="G44" s="33">
        <v>-1</v>
      </c>
      <c r="H44" s="33">
        <v>-1</v>
      </c>
      <c r="I44" s="31">
        <v>285</v>
      </c>
    </row>
    <row r="45" spans="1:9">
      <c r="A45" s="31">
        <v>43</v>
      </c>
      <c r="B45" s="35">
        <f>ZConfig!G46</f>
        <v>85190</v>
      </c>
      <c r="C45" s="32">
        <v>-1</v>
      </c>
      <c r="D45" s="32">
        <v>-1</v>
      </c>
      <c r="E45" s="32">
        <v>-1</v>
      </c>
      <c r="F45" s="33">
        <v>-1</v>
      </c>
      <c r="G45" s="33">
        <v>-1</v>
      </c>
      <c r="H45" s="33">
        <v>-1</v>
      </c>
      <c r="I45" s="31">
        <v>300</v>
      </c>
    </row>
    <row r="46" spans="1:9">
      <c r="A46" s="31">
        <v>44</v>
      </c>
      <c r="B46" s="35">
        <f>ZConfig!G47</f>
        <v>91130</v>
      </c>
      <c r="C46" s="32">
        <v>-1</v>
      </c>
      <c r="D46" s="32">
        <v>-1</v>
      </c>
      <c r="E46" s="32">
        <v>-1</v>
      </c>
      <c r="F46" s="33">
        <v>-1</v>
      </c>
      <c r="G46" s="33">
        <v>-1</v>
      </c>
      <c r="H46" s="33">
        <v>-1</v>
      </c>
      <c r="I46" s="31">
        <v>315</v>
      </c>
    </row>
    <row r="47" spans="1:9">
      <c r="A47" s="31">
        <v>45</v>
      </c>
      <c r="B47" s="35">
        <f>ZConfig!G48</f>
        <v>97340</v>
      </c>
      <c r="C47" s="32">
        <v>-1</v>
      </c>
      <c r="D47" s="32">
        <v>-1</v>
      </c>
      <c r="E47" s="32">
        <v>-1</v>
      </c>
      <c r="F47" s="33">
        <v>-1</v>
      </c>
      <c r="G47" s="33">
        <v>-1</v>
      </c>
      <c r="H47" s="33">
        <v>-1</v>
      </c>
      <c r="I47" s="31">
        <v>330</v>
      </c>
    </row>
    <row r="48" spans="1:9">
      <c r="A48" s="31">
        <v>46</v>
      </c>
      <c r="B48" s="35">
        <f>ZConfig!G49</f>
        <v>103830</v>
      </c>
      <c r="C48" s="32">
        <v>-1</v>
      </c>
      <c r="D48" s="32">
        <v>-1</v>
      </c>
      <c r="E48" s="32">
        <v>-1</v>
      </c>
      <c r="F48" s="33">
        <v>-1</v>
      </c>
      <c r="G48" s="33">
        <v>-1</v>
      </c>
      <c r="H48" s="33">
        <v>-1</v>
      </c>
      <c r="I48" s="31">
        <v>345</v>
      </c>
    </row>
    <row r="49" spans="1:9">
      <c r="A49" s="31">
        <v>47</v>
      </c>
      <c r="B49" s="35">
        <f>ZConfig!G50</f>
        <v>110600</v>
      </c>
      <c r="C49" s="32">
        <v>-1</v>
      </c>
      <c r="D49" s="32">
        <v>-1</v>
      </c>
      <c r="E49" s="32">
        <v>-1</v>
      </c>
      <c r="F49" s="33">
        <v>-1</v>
      </c>
      <c r="G49" s="33">
        <v>-1</v>
      </c>
      <c r="H49" s="33">
        <v>-1</v>
      </c>
      <c r="I49" s="31">
        <v>360</v>
      </c>
    </row>
    <row r="50" spans="1:9">
      <c r="A50" s="31">
        <v>48</v>
      </c>
      <c r="B50" s="35">
        <f>ZConfig!G51</f>
        <v>117650</v>
      </c>
      <c r="C50" s="32">
        <v>-1</v>
      </c>
      <c r="D50" s="32">
        <v>-1</v>
      </c>
      <c r="E50" s="32">
        <v>-1</v>
      </c>
      <c r="F50" s="33">
        <v>-1</v>
      </c>
      <c r="G50" s="33">
        <v>-1</v>
      </c>
      <c r="H50" s="33">
        <v>-1</v>
      </c>
      <c r="I50" s="31">
        <v>375</v>
      </c>
    </row>
  </sheetData>
  <phoneticPr fontId="26" type="noConversion"/>
  <pageMargins left="0.69930555555555596" right="0.69930555555555596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ZConfig</vt:lpstr>
      <vt:lpstr>AllItems</vt:lpstr>
      <vt:lpstr>Fishing</vt:lpstr>
      <vt:lpstr>ForestObjects</vt:lpstr>
      <vt:lpstr>Minerals</vt:lpstr>
      <vt:lpstr>Monsters</vt:lpstr>
      <vt:lpstr>ForestLevels</vt:lpstr>
      <vt:lpstr>MiningLevels</vt:lpstr>
      <vt:lpstr>ItemReceipes</vt:lpstr>
      <vt:lpstr>FruitTrees</vt:lpstr>
      <vt:lpstr>Crops</vt:lpstr>
      <vt:lpstr>Source</vt:lpstr>
      <vt:lpstr>Decoration</vt:lpstr>
      <vt:lpstr>Livestock</vt:lpstr>
      <vt:lpstr>LevelUp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Admin</cp:lastModifiedBy>
  <cp:lastPrinted>2017-05-02T12:09:00Z</cp:lastPrinted>
  <dcterms:created xsi:type="dcterms:W3CDTF">2006-09-16T00:00:00Z</dcterms:created>
  <dcterms:modified xsi:type="dcterms:W3CDTF">2020-10-11T09:10:44Z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